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e4b80055a3c5d9c/CA TRANS/SARAH RESPONSABLE GESTION DE FLOTTE CA TRANS/"/>
    </mc:Choice>
  </mc:AlternateContent>
  <xr:revisionPtr revIDLastSave="183" documentId="13_ncr:1_{0736A2CC-9A7B-455C-B2F9-158AFD925853}" xr6:coauthVersionLast="47" xr6:coauthVersionMax="47" xr10:uidLastSave="{F0C65E76-429E-4381-A91D-F175189ED955}"/>
  <bookViews>
    <workbookView xWindow="-108" yWindow="-108" windowWidth="23256" windowHeight="12456" activeTab="1" xr2:uid="{00000000-000D-0000-FFFF-FFFF00000000}"/>
  </bookViews>
  <sheets>
    <sheet name="FICHE TECHNIQUE " sheetId="1" r:id="rId1"/>
    <sheet name="FICHE TECHNIQUE  (2)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2" l="1"/>
  <c r="C23" i="2"/>
  <c r="C24" i="2" s="1"/>
  <c r="C25" i="2" s="1"/>
  <c r="C23" i="1"/>
  <c r="G10" i="2" l="1"/>
  <c r="C20" i="1"/>
  <c r="C22" i="1"/>
  <c r="C24" i="1"/>
  <c r="C30" i="1" s="1"/>
  <c r="C32" i="1" s="1"/>
  <c r="C29" i="1"/>
  <c r="C30" i="2" l="1"/>
  <c r="C31" i="2" s="1"/>
  <c r="C31" i="1"/>
  <c r="C32" i="2" l="1"/>
  <c r="G29" i="2" s="1"/>
  <c r="G11" i="2" l="1"/>
  <c r="G12" i="2" s="1"/>
  <c r="G28" i="2"/>
  <c r="G26" i="2"/>
  <c r="G27" i="2"/>
  <c r="G18" i="2"/>
  <c r="G19" i="2" s="1"/>
  <c r="G20" i="2" s="1"/>
  <c r="G22" i="2" l="1"/>
  <c r="G23" i="2" l="1"/>
  <c r="C37" i="2"/>
</calcChain>
</file>

<file path=xl/sharedStrings.xml><?xml version="1.0" encoding="utf-8"?>
<sst xmlns="http://schemas.openxmlformats.org/spreadsheetml/2006/main" count="169" uniqueCount="149">
  <si>
    <t>FICHE TECHNIQUE DES BUS CA TRANS SARL</t>
  </si>
  <si>
    <t>1.IDENTIFICATION DU BUS</t>
  </si>
  <si>
    <t xml:space="preserve">DATE </t>
  </si>
  <si>
    <t xml:space="preserve">TYPE DE VOYAGE </t>
  </si>
  <si>
    <t>DESTINATION</t>
  </si>
  <si>
    <t>IMMATRICULATION DU BUS</t>
  </si>
  <si>
    <t>KILOMETRAGE ACTUEL</t>
  </si>
  <si>
    <t>MARQUE DU BUS</t>
  </si>
  <si>
    <t>LIEU D'AFFECTATION</t>
  </si>
  <si>
    <t>ETAT</t>
  </si>
  <si>
    <t xml:space="preserve">DERNIERE VISITE TECHNIQUE </t>
  </si>
  <si>
    <t xml:space="preserve">DATE D'EXPIRATION ASSURANCE </t>
  </si>
  <si>
    <t xml:space="preserve">NOM DU CHAUFFEUR </t>
  </si>
  <si>
    <t xml:space="preserve">2. ELEMENTS DE CALCUL </t>
  </si>
  <si>
    <t>MONTANT</t>
  </si>
  <si>
    <t>Prix du litre de carburant</t>
  </si>
  <si>
    <t>Quantité consommée (aller-retour)</t>
  </si>
  <si>
    <t>Coût total du carburant</t>
  </si>
  <si>
    <t>Distance totale parcourue</t>
  </si>
  <si>
    <t>Coût carburant par km</t>
  </si>
  <si>
    <t>Coût carburant par km × 4</t>
  </si>
  <si>
    <t>Nouveau coût carburant total (×4)</t>
  </si>
  <si>
    <t>Péages</t>
  </si>
  <si>
    <t>Rémunération chauffeur</t>
  </si>
  <si>
    <t>Frais de mission (repas, hébergement)</t>
  </si>
  <si>
    <t>Assurance proratisée par voyage</t>
  </si>
  <si>
    <t>Total autres frais</t>
  </si>
  <si>
    <t>Coût de revient total du voyage</t>
  </si>
  <si>
    <t>Marge souhaitée (10%)</t>
  </si>
  <si>
    <t>Prix de vente conseillé</t>
  </si>
  <si>
    <t>Prix du litre de carburant (Francs/Litre)</t>
  </si>
  <si>
    <t>Coût total du carburant (F CFA)</t>
  </si>
  <si>
    <t>Frais de mission chauffeur (repas, hébergement)</t>
  </si>
  <si>
    <t xml:space="preserve">Frais de mission convoyeur </t>
  </si>
  <si>
    <t>Distance totale parcourue en aller simple (Km)</t>
  </si>
  <si>
    <t>Carburant consommé sur 100 km (L)</t>
  </si>
  <si>
    <t>Consommation totale de carburant (L)</t>
  </si>
  <si>
    <t>FICHE DE CALCUL DES CONVOIS CA TRANS</t>
  </si>
  <si>
    <t>Prix de vente conseillé en aller simple</t>
  </si>
  <si>
    <t>CALCULS A INSCRIRE SUR LA PRO FORMA</t>
  </si>
  <si>
    <t>Montant de la TVA</t>
  </si>
  <si>
    <t>Montant total en Aller - Retour HT</t>
  </si>
  <si>
    <t xml:space="preserve">ELEMENTS DE CALCUL </t>
  </si>
  <si>
    <t>MONTANTS</t>
  </si>
  <si>
    <t>NOMBRE DE PLACES DISPONIBLES DANS UN BUS ELIGIBLE AU CONVOI</t>
  </si>
  <si>
    <t>CHAUFFEUR</t>
  </si>
  <si>
    <t>CONVOYEUR</t>
  </si>
  <si>
    <t>Péage</t>
  </si>
  <si>
    <t>Coût total du carburant à facturer (coût initial × 4)</t>
  </si>
  <si>
    <t>EVALUATION DES BENEFICES</t>
  </si>
  <si>
    <t>Montant total des bénéfices sur les tickets</t>
  </si>
  <si>
    <t>Montant total des bénéfices sur les dépenses</t>
  </si>
  <si>
    <t>Montant total des dépenses</t>
  </si>
  <si>
    <t>Montant total TTC</t>
  </si>
  <si>
    <t>Montant total à imputer au client</t>
  </si>
  <si>
    <t>Montant du trajet avec le montant des tickets</t>
  </si>
  <si>
    <t xml:space="preserve">EVALUATION DES TARIFS PAR TRAJET </t>
  </si>
  <si>
    <t>MONTANTS ALLER</t>
  </si>
  <si>
    <t xml:space="preserve">MONTANT CALCULE </t>
  </si>
  <si>
    <t>Nombre de places souhaitées</t>
  </si>
  <si>
    <t>Montant total à payer TTC en aller simple</t>
  </si>
  <si>
    <t>Montant total à payer TTC en aller - retour</t>
  </si>
  <si>
    <t>Montant de la remise (%)</t>
  </si>
  <si>
    <t>Nombre de jours avec le véhicule ou nombre de véhicules</t>
  </si>
  <si>
    <t>63 places (sans TVA)</t>
  </si>
  <si>
    <t>51 places (sans TVA)</t>
  </si>
  <si>
    <t>49 places (sans TVA)</t>
  </si>
  <si>
    <t>Environ 9000</t>
  </si>
  <si>
    <t>FRAIS DE MISSION USUELS POUR 1 JOUR ALLER - RETOUR</t>
  </si>
  <si>
    <t>FRAIS DE MISSION USUELS POUR 2 JOURS ALLER - RETOUR</t>
  </si>
  <si>
    <t>Environ 3500</t>
  </si>
  <si>
    <t>Environ 6600</t>
  </si>
  <si>
    <t>Environ 1500 ou 2000</t>
  </si>
  <si>
    <t>ABJ - BEOUMI (351km/SAKASSOU) (389km/Bouaké)</t>
  </si>
  <si>
    <t>SP - BEOUMI (443km/DALOA) (562km/YAKRO)</t>
  </si>
  <si>
    <t>TRAJETS</t>
  </si>
  <si>
    <t xml:space="preserve">SP - ABIDJAN </t>
  </si>
  <si>
    <t xml:space="preserve">SP - BONOUA </t>
  </si>
  <si>
    <t xml:space="preserve">SP - SOUBRE </t>
  </si>
  <si>
    <t>N°</t>
  </si>
  <si>
    <t>DISTANCE (Km)</t>
  </si>
  <si>
    <t xml:space="preserve">SP - GAGNOA </t>
  </si>
  <si>
    <t>ABIDJAN - GAGNOA (péages)</t>
  </si>
  <si>
    <t xml:space="preserve">ABIDJAN - LAUZOUA </t>
  </si>
  <si>
    <t xml:space="preserve">ABIDJAN - BONOUA </t>
  </si>
  <si>
    <t>ABIDJAN - BOUAKE (péages)</t>
  </si>
  <si>
    <t>ABIDJAN - YAMOUSSOUKRO (péages)</t>
  </si>
  <si>
    <t xml:space="preserve">ABIDJAN - DALOA </t>
  </si>
  <si>
    <t>ABIDJAN - GUIBEROUA (péages)</t>
  </si>
  <si>
    <t xml:space="preserve">SP - GUIGLO </t>
  </si>
  <si>
    <t>SOUBRE - BONOUA</t>
  </si>
  <si>
    <t>SP - SASSANDRA</t>
  </si>
  <si>
    <t>MOUSSADOUGOU - M'BAHIAKRO</t>
  </si>
  <si>
    <t>ABIDJAN - DABOU</t>
  </si>
  <si>
    <t>ABJ - LAKOTA (péages)</t>
  </si>
  <si>
    <t>SP - BONDOUKOU</t>
  </si>
  <si>
    <t>ABJ - ASSINIE</t>
  </si>
  <si>
    <t>SP - G. BEREBY</t>
  </si>
  <si>
    <t>ABJ - G. BEREBY</t>
  </si>
  <si>
    <t>SP - FRESCO</t>
  </si>
  <si>
    <t>SP - G. LAHOU</t>
  </si>
  <si>
    <t>SP - MOUSSADOUGOU</t>
  </si>
  <si>
    <t xml:space="preserve">Treichville - Zokolilié </t>
  </si>
  <si>
    <t>Yop Rue Princesse - Zokolilié</t>
  </si>
  <si>
    <t>Abidjan - Zohoa (péages)</t>
  </si>
  <si>
    <t>SOGB - Bouaké</t>
  </si>
  <si>
    <t>SOGB - YAKRO</t>
  </si>
  <si>
    <t>ADJAME - JACQUEVILLE</t>
  </si>
  <si>
    <t>SOGB - TIEBISSOU</t>
  </si>
  <si>
    <t>SP - Yamoussoukro</t>
  </si>
  <si>
    <t>ABIDJAN - SASSANDRA</t>
  </si>
  <si>
    <t xml:space="preserve">SP - DALOA </t>
  </si>
  <si>
    <t>G. BEREBY - DIMBOKRO</t>
  </si>
  <si>
    <t>Yopougon - Zikisso</t>
  </si>
  <si>
    <t>ABJ - ABOISSO</t>
  </si>
  <si>
    <t>SP - AZAGUIE</t>
  </si>
  <si>
    <t>GAGNOA - BOUAKE</t>
  </si>
  <si>
    <t>ABIDJAN - MEAGUI</t>
  </si>
  <si>
    <t>ABIDJAN - MONDOUKOU (Péage)</t>
  </si>
  <si>
    <t>ADJAME - ASSINIE</t>
  </si>
  <si>
    <t xml:space="preserve">YOPOUGON - SOUBRE </t>
  </si>
  <si>
    <t>6100 / 8000</t>
  </si>
  <si>
    <t>ABJ - GALEBRE (péage)</t>
  </si>
  <si>
    <t>LAKOTA - SINFRA</t>
  </si>
  <si>
    <t>SP - BOUAKE</t>
  </si>
  <si>
    <t>SP - BLOLEQUIN</t>
  </si>
  <si>
    <t>SP - DUEKOUE</t>
  </si>
  <si>
    <t>SP - ISSIA</t>
  </si>
  <si>
    <t>SP - DIVO</t>
  </si>
  <si>
    <t>SP - LAKOTA</t>
  </si>
  <si>
    <t xml:space="preserve"> Environ 8000</t>
  </si>
  <si>
    <t>SP - SOGB</t>
  </si>
  <si>
    <t>SP - TABOU</t>
  </si>
  <si>
    <t>SP - MEAGUI</t>
  </si>
  <si>
    <t>SP - GABIADJI</t>
  </si>
  <si>
    <t>SP - TIASSALE</t>
  </si>
  <si>
    <t>SP - N'DOUCI</t>
  </si>
  <si>
    <t>ABJ - TIASSALE</t>
  </si>
  <si>
    <t>ABJ - DIVO</t>
  </si>
  <si>
    <t>ABJ - N'DOUCI</t>
  </si>
  <si>
    <t>ABJ - YABAYO</t>
  </si>
  <si>
    <t>ABJ - CARRIERE</t>
  </si>
  <si>
    <t>ABJ - OUPOYO</t>
  </si>
  <si>
    <t xml:space="preserve">ABJ - MEAGUI </t>
  </si>
  <si>
    <t>ABJ - TUHI</t>
  </si>
  <si>
    <t>ABJ - GABIADJI</t>
  </si>
  <si>
    <t xml:space="preserve">G. BASSAM - SOUBRE </t>
  </si>
  <si>
    <t>58 places X2 VIP (sans TVA)</t>
  </si>
  <si>
    <t>SP - ABENGOUROU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</si>
</sst>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3" fontId="0" fillId="0" borderId="0" xfId="1" applyFont="1" applyAlignment="1">
      <alignment horizontal="center" vertical="center"/>
    </xf>
    <xf numFmtId="43" fontId="0" fillId="0" borderId="0" xfId="1" applyFont="1"/>
    <xf numFmtId="164" fontId="0" fillId="0" borderId="0" xfId="1" applyNumberFormat="1" applyFont="1" applyAlignment="1">
      <alignment horizontal="center" vertical="center"/>
    </xf>
    <xf numFmtId="14" fontId="4" fillId="0" borderId="9" xfId="0" applyNumberFormat="1" applyFont="1" applyBorder="1"/>
    <xf numFmtId="164" fontId="0" fillId="0" borderId="10" xfId="1" applyNumberFormat="1" applyFont="1" applyBorder="1"/>
    <xf numFmtId="14" fontId="0" fillId="0" borderId="11" xfId="0" applyNumberFormat="1" applyBorder="1" applyAlignment="1">
      <alignment horizontal="left" vertical="center"/>
    </xf>
    <xf numFmtId="164" fontId="0" fillId="0" borderId="12" xfId="1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3" fontId="6" fillId="0" borderId="14" xfId="1" applyNumberFormat="1" applyFont="1" applyBorder="1" applyAlignment="1"/>
    <xf numFmtId="0" fontId="5" fillId="0" borderId="15" xfId="0" applyFont="1" applyBorder="1" applyAlignment="1">
      <alignment horizontal="left" vertical="center"/>
    </xf>
    <xf numFmtId="3" fontId="6" fillId="0" borderId="16" xfId="1" applyNumberFormat="1" applyFont="1" applyBorder="1" applyAlignment="1"/>
    <xf numFmtId="0" fontId="5" fillId="4" borderId="15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/>
    <xf numFmtId="0" fontId="7" fillId="5" borderId="17" xfId="0" applyFont="1" applyFill="1" applyBorder="1" applyAlignment="1">
      <alignment horizontal="left" vertical="center"/>
    </xf>
    <xf numFmtId="3" fontId="8" fillId="5" borderId="18" xfId="1" applyNumberFormat="1" applyFont="1" applyFill="1" applyBorder="1" applyAlignment="1"/>
    <xf numFmtId="0" fontId="9" fillId="0" borderId="15" xfId="0" applyFont="1" applyBorder="1" applyAlignment="1">
      <alignment horizontal="left" vertical="center"/>
    </xf>
    <xf numFmtId="0" fontId="9" fillId="4" borderId="15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  <xf numFmtId="164" fontId="2" fillId="3" borderId="19" xfId="1" applyNumberFormat="1" applyFont="1" applyFill="1" applyBorder="1" applyAlignment="1">
      <alignment horizontal="center" vertical="center"/>
    </xf>
    <xf numFmtId="0" fontId="9" fillId="0" borderId="20" xfId="0" applyFont="1" applyBorder="1"/>
    <xf numFmtId="1" fontId="9" fillId="0" borderId="20" xfId="0" applyNumberFormat="1" applyFont="1" applyBorder="1"/>
    <xf numFmtId="0" fontId="9" fillId="0" borderId="21" xfId="0" applyFont="1" applyBorder="1"/>
    <xf numFmtId="1" fontId="9" fillId="0" borderId="21" xfId="0" applyNumberFormat="1" applyFont="1" applyBorder="1"/>
    <xf numFmtId="0" fontId="9" fillId="6" borderId="22" xfId="0" applyFont="1" applyFill="1" applyBorder="1"/>
    <xf numFmtId="0" fontId="9" fillId="7" borderId="22" xfId="0" applyFont="1" applyFill="1" applyBorder="1"/>
    <xf numFmtId="1" fontId="9" fillId="6" borderId="23" xfId="0" applyNumberFormat="1" applyFont="1" applyFill="1" applyBorder="1"/>
    <xf numFmtId="1" fontId="9" fillId="7" borderId="23" xfId="0" applyNumberFormat="1" applyFont="1" applyFill="1" applyBorder="1"/>
    <xf numFmtId="14" fontId="2" fillId="3" borderId="24" xfId="0" applyNumberFormat="1" applyFont="1" applyFill="1" applyBorder="1" applyAlignment="1">
      <alignment horizontal="left" vertical="center"/>
    </xf>
    <xf numFmtId="164" fontId="2" fillId="3" borderId="25" xfId="1" applyNumberFormat="1" applyFont="1" applyFill="1" applyBorder="1" applyAlignment="1">
      <alignment horizontal="center" vertical="center"/>
    </xf>
    <xf numFmtId="0" fontId="9" fillId="6" borderId="26" xfId="0" applyFont="1" applyFill="1" applyBorder="1"/>
    <xf numFmtId="1" fontId="9" fillId="6" borderId="27" xfId="0" applyNumberFormat="1" applyFont="1" applyFill="1" applyBorder="1"/>
    <xf numFmtId="0" fontId="9" fillId="0" borderId="0" xfId="0" applyFont="1"/>
    <xf numFmtId="0" fontId="0" fillId="0" borderId="28" xfId="0" applyBorder="1"/>
    <xf numFmtId="164" fontId="0" fillId="0" borderId="29" xfId="1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1" fontId="9" fillId="0" borderId="26" xfId="0" applyNumberFormat="1" applyFont="1" applyBorder="1"/>
    <xf numFmtId="0" fontId="5" fillId="6" borderId="22" xfId="0" applyFont="1" applyFill="1" applyBorder="1"/>
    <xf numFmtId="1" fontId="5" fillId="6" borderId="23" xfId="0" applyNumberFormat="1" applyFont="1" applyFill="1" applyBorder="1"/>
    <xf numFmtId="1" fontId="5" fillId="6" borderId="27" xfId="0" applyNumberFormat="1" applyFont="1" applyFill="1" applyBorder="1"/>
    <xf numFmtId="0" fontId="5" fillId="6" borderId="26" xfId="0" applyFont="1" applyFill="1" applyBorder="1"/>
    <xf numFmtId="1" fontId="9" fillId="6" borderId="23" xfId="0" applyNumberFormat="1" applyFont="1" applyFill="1" applyBorder="1" applyAlignment="1">
      <alignment horizontal="right"/>
    </xf>
    <xf numFmtId="1" fontId="5" fillId="6" borderId="23" xfId="0" applyNumberFormat="1" applyFont="1" applyFill="1" applyBorder="1" applyAlignment="1">
      <alignment horizontal="right"/>
    </xf>
    <xf numFmtId="14" fontId="2" fillId="3" borderId="20" xfId="0" applyNumberFormat="1" applyFont="1" applyFill="1" applyBorder="1" applyAlignment="1">
      <alignment horizontal="left" vertical="center"/>
    </xf>
    <xf numFmtId="14" fontId="2" fillId="3" borderId="28" xfId="0" applyNumberFormat="1" applyFont="1" applyFill="1" applyBorder="1" applyAlignment="1">
      <alignment horizontal="left" vertical="center"/>
    </xf>
    <xf numFmtId="0" fontId="9" fillId="6" borderId="33" xfId="0" applyFont="1" applyFill="1" applyBorder="1"/>
    <xf numFmtId="0" fontId="9" fillId="6" borderId="32" xfId="0" applyFont="1" applyFill="1" applyBorder="1"/>
    <xf numFmtId="0" fontId="5" fillId="6" borderId="33" xfId="0" applyFont="1" applyFill="1" applyBorder="1"/>
    <xf numFmtId="0" fontId="5" fillId="6" borderId="32" xfId="0" applyFont="1" applyFill="1" applyBorder="1"/>
    <xf numFmtId="0" fontId="0" fillId="0" borderId="20" xfId="0" applyBorder="1" applyAlignment="1">
      <alignment horizontal="center" vertical="center"/>
    </xf>
    <xf numFmtId="3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14" fontId="2" fillId="3" borderId="7" xfId="0" applyNumberFormat="1" applyFont="1" applyFill="1" applyBorder="1" applyAlignment="1">
      <alignment horizontal="left" vertical="center"/>
    </xf>
    <xf numFmtId="14" fontId="2" fillId="3" borderId="8" xfId="0" applyNumberFormat="1" applyFont="1" applyFill="1" applyBorder="1" applyAlignment="1">
      <alignment horizontal="left" vertical="center"/>
    </xf>
  </cellXfs>
  <cellStyles count="2">
    <cellStyle name="Milliers" xfId="1" builtinId="3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1"/>
        </top>
        <bottom style="thin">
          <color theme="1"/>
        </bottom>
      </border>
    </dxf>
    <dxf>
      <border outline="0">
        <top style="thin">
          <color indexed="64"/>
        </top>
        <bottom style="thin">
          <color theme="1"/>
        </bottom>
      </border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5" tint="0.59999389629810485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5" tint="0.59999389629810485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theme="5" tint="0.59999389629810485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1"/>
        </top>
        <bottom style="thin">
          <color theme="1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4" displayName="Tableau14" ref="B17:C32" totalsRowShown="0" headerRowDxfId="4" headerRowBorderDxfId="3" tableBorderDxfId="2">
  <autoFilter ref="B17:C32" xr:uid="{00000000-0009-0000-0100-000001000000}"/>
  <tableColumns count="2">
    <tableColumn id="1" xr3:uid="{00000000-0010-0000-0000-000001000000}" name="2. ELEMENTS DE CALCUL " dataDxfId="1"/>
    <tableColumn id="2" xr3:uid="{00000000-0010-0000-0000-000002000000}" name="MONTANT" dataDxfId="0" dataCellStyle="Milliers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9D293-0F7A-4523-8A2C-5E00AB5D4B2A}" name="Tableau143" displayName="Tableau143" ref="B17:C32" totalsRowShown="0" headerRowDxfId="27" headerRowBorderDxfId="26" tableBorderDxfId="25">
  <autoFilter ref="B17:C32" xr:uid="{00000000-0009-0000-0100-000001000000}"/>
  <tableColumns count="2">
    <tableColumn id="1" xr3:uid="{DF2BE670-FCDC-4F72-B513-279490596730}" name="2. ELEMENTS DE CALCUL " dataDxfId="24"/>
    <tableColumn id="2" xr3:uid="{54BD8149-6473-4A14-A06A-53EB7ABE8D18}" name="MONTANTS" dataDxfId="23" dataCellStyle="Milliers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602FE7-0611-43B4-9C09-BA106ADB7075}" name="Tableau3" displayName="Tableau3" ref="F17:G22" dataDxfId="22" tableBorderDxfId="21">
  <autoFilter ref="F17:G22" xr:uid="{18602FE7-0611-43B4-9C09-BA106ADB7075}"/>
  <tableColumns count="2">
    <tableColumn id="1" xr3:uid="{3B0AC6F0-9236-4BD4-8A51-9F7D240C0863}" name="ELEMENTS DE CALCUL " totalsRowLabel="Montant total à payer TTC" dataDxfId="20" totalsRowDxfId="19"/>
    <tableColumn id="2" xr3:uid="{979D7C85-9AD1-4943-B7C2-55E02CD25751}" name="MONTANTS" totalsRowFunction="custom" dataDxfId="18" totalsRowDxfId="17">
      <totalsRowFormula>G20-Tableau3[[#Totals],[MONTANTS]]</totalsRow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85C5EB-DB13-4502-AEB0-4CBD8B4AD28C}" name="Tableau4" displayName="Tableau4" ref="F9:G14" totalsRowShown="0" headerRowBorderDxfId="16" tableBorderDxfId="15" totalsRowBorderDxfId="14">
  <autoFilter ref="F9:G14" xr:uid="{6285C5EB-DB13-4502-AEB0-4CBD8B4AD28C}"/>
  <tableColumns count="2">
    <tableColumn id="1" xr3:uid="{B930AF27-80A0-43CC-9A0C-535BE8DA9E14}" name="EVALUATION DES BENEFICES" dataDxfId="13"/>
    <tableColumn id="2" xr3:uid="{06198841-5A2B-4C73-A5AA-FF43A5500868}" name="MONTANTS" dataDxfId="12">
      <calculatedColumnFormula>C24+C29</calculatedColumnFormula>
    </tableColumn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91840C-7922-4334-9143-ACD0E0662C34}" name="Tableau46" displayName="Tableau46" ref="F38:I209" totalsRowShown="0" headerRowBorderDxfId="11" tableBorderDxfId="10" totalsRowBorderDxfId="9">
  <autoFilter ref="F38:I209" xr:uid="{A791840C-7922-4334-9143-ACD0E0662C34}"/>
  <tableColumns count="4">
    <tableColumn id="1" xr3:uid="{77FB27CC-10B0-45B8-B6DE-DD1F9AF38F5A}" name="TRAJETS" dataDxfId="8"/>
    <tableColumn id="4" xr3:uid="{5E101397-8490-4CA4-BF9C-9F5FE5FCE7E5}" name="DISTANCE (Km)" dataDxfId="7"/>
    <tableColumn id="2" xr3:uid="{DBC808E5-899E-4CD5-9AB2-5C5D71A35A31}" name="MONTANTS ALLER" dataDxfId="6">
      <calculatedColumnFormula>C53+C58</calculatedColumnFormula>
    </tableColumn>
    <tableColumn id="3" xr3:uid="{1A061FAB-4BB0-460E-A829-4FABA5123570}" name="MONTANT CALCULE " dataDxfId="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2"/>
  <sheetViews>
    <sheetView zoomScaleNormal="100" workbookViewId="0">
      <pane ySplit="5" topLeftCell="A15" activePane="bottomLeft" state="frozen"/>
      <selection pane="bottomLeft" activeCell="D25" sqref="D25"/>
    </sheetView>
  </sheetViews>
  <sheetFormatPr baseColWidth="10" defaultRowHeight="14.4" x14ac:dyDescent="0.3"/>
  <cols>
    <col min="2" max="2" width="60.33203125" style="1" customWidth="1"/>
    <col min="3" max="3" width="44.6640625" style="2" customWidth="1"/>
    <col min="4" max="5" width="23.33203125" customWidth="1"/>
    <col min="6" max="6" width="16.44140625" customWidth="1"/>
    <col min="7" max="7" width="15.5546875" customWidth="1"/>
    <col min="8" max="8" width="35.33203125" bestFit="1" customWidth="1"/>
    <col min="9" max="9" width="23.6640625" bestFit="1" customWidth="1"/>
    <col min="10" max="10" width="23.6640625" style="3" customWidth="1"/>
    <col min="11" max="11" width="22.33203125" customWidth="1"/>
    <col min="12" max="12" width="20.44140625" style="4" bestFit="1" customWidth="1"/>
    <col min="13" max="13" width="25" style="5" bestFit="1" customWidth="1"/>
    <col min="14" max="14" width="26.5546875" style="5" bestFit="1" customWidth="1"/>
  </cols>
  <sheetData>
    <row r="1" spans="2:3" ht="15" thickBot="1" x14ac:dyDescent="0.35"/>
    <row r="2" spans="2:3" ht="13.95" customHeight="1" x14ac:dyDescent="0.3">
      <c r="B2" s="56" t="s">
        <v>0</v>
      </c>
      <c r="C2" s="57"/>
    </row>
    <row r="3" spans="2:3" ht="13.95" customHeight="1" x14ac:dyDescent="0.3">
      <c r="B3" s="58"/>
      <c r="C3" s="59"/>
    </row>
    <row r="4" spans="2:3" ht="15" thickBot="1" x14ac:dyDescent="0.35">
      <c r="B4" s="60"/>
      <c r="C4" s="61"/>
    </row>
    <row r="5" spans="2:3" x14ac:dyDescent="0.3">
      <c r="B5" s="62" t="s">
        <v>1</v>
      </c>
      <c r="C5" s="63"/>
    </row>
    <row r="6" spans="2:3" x14ac:dyDescent="0.3">
      <c r="B6" s="6" t="s">
        <v>2</v>
      </c>
      <c r="C6" s="7"/>
    </row>
    <row r="7" spans="2:3" x14ac:dyDescent="0.3">
      <c r="B7" s="6" t="s">
        <v>3</v>
      </c>
      <c r="C7" s="7"/>
    </row>
    <row r="8" spans="2:3" x14ac:dyDescent="0.3">
      <c r="B8" s="6" t="s">
        <v>4</v>
      </c>
      <c r="C8" s="7"/>
    </row>
    <row r="9" spans="2:3" x14ac:dyDescent="0.3">
      <c r="B9" s="6" t="s">
        <v>5</v>
      </c>
      <c r="C9" s="7"/>
    </row>
    <row r="10" spans="2:3" x14ac:dyDescent="0.3">
      <c r="B10" s="6" t="s">
        <v>6</v>
      </c>
      <c r="C10" s="7"/>
    </row>
    <row r="11" spans="2:3" x14ac:dyDescent="0.3">
      <c r="B11" s="6" t="s">
        <v>7</v>
      </c>
      <c r="C11" s="7"/>
    </row>
    <row r="12" spans="2:3" x14ac:dyDescent="0.3">
      <c r="B12" s="6" t="s">
        <v>8</v>
      </c>
      <c r="C12" s="7"/>
    </row>
    <row r="13" spans="2:3" x14ac:dyDescent="0.3">
      <c r="B13" s="6" t="s">
        <v>9</v>
      </c>
      <c r="C13" s="7"/>
    </row>
    <row r="14" spans="2:3" x14ac:dyDescent="0.3">
      <c r="B14" s="6" t="s">
        <v>10</v>
      </c>
      <c r="C14" s="7"/>
    </row>
    <row r="15" spans="2:3" x14ac:dyDescent="0.3">
      <c r="B15" s="6" t="s">
        <v>11</v>
      </c>
      <c r="C15" s="7"/>
    </row>
    <row r="16" spans="2:3" x14ac:dyDescent="0.3">
      <c r="B16" s="6" t="s">
        <v>12</v>
      </c>
      <c r="C16" s="7"/>
    </row>
    <row r="17" spans="2:14" ht="15" thickBot="1" x14ac:dyDescent="0.35">
      <c r="B17" s="8" t="s">
        <v>13</v>
      </c>
      <c r="C17" s="9" t="s">
        <v>14</v>
      </c>
    </row>
    <row r="18" spans="2:14" ht="18" x14ac:dyDescent="0.35">
      <c r="B18" s="10" t="s">
        <v>15</v>
      </c>
      <c r="C18" s="11">
        <v>715</v>
      </c>
    </row>
    <row r="19" spans="2:14" ht="18" x14ac:dyDescent="0.35">
      <c r="B19" s="18" t="s">
        <v>16</v>
      </c>
      <c r="C19" s="13">
        <v>700</v>
      </c>
      <c r="J19"/>
      <c r="L19"/>
      <c r="M19"/>
      <c r="N19"/>
    </row>
    <row r="20" spans="2:14" ht="18" x14ac:dyDescent="0.35">
      <c r="B20" s="14" t="s">
        <v>17</v>
      </c>
      <c r="C20" s="15">
        <f>C18*C19</f>
        <v>500500</v>
      </c>
      <c r="J20"/>
      <c r="L20"/>
      <c r="M20"/>
      <c r="N20"/>
    </row>
    <row r="21" spans="2:14" ht="18" x14ac:dyDescent="0.35">
      <c r="B21" s="12" t="s">
        <v>18</v>
      </c>
      <c r="C21" s="13">
        <v>700</v>
      </c>
      <c r="J21"/>
      <c r="L21"/>
      <c r="M21"/>
      <c r="N21"/>
    </row>
    <row r="22" spans="2:14" ht="18" x14ac:dyDescent="0.35">
      <c r="B22" s="14" t="s">
        <v>19</v>
      </c>
      <c r="C22" s="15">
        <f>C20/C21</f>
        <v>715</v>
      </c>
      <c r="J22"/>
      <c r="L22"/>
      <c r="M22"/>
      <c r="N22"/>
    </row>
    <row r="23" spans="2:14" ht="18" x14ac:dyDescent="0.35">
      <c r="B23" s="14" t="s">
        <v>20</v>
      </c>
      <c r="C23" s="15">
        <f>C22*4</f>
        <v>2860</v>
      </c>
      <c r="J23"/>
      <c r="L23"/>
      <c r="M23"/>
      <c r="N23"/>
    </row>
    <row r="24" spans="2:14" ht="18" x14ac:dyDescent="0.35">
      <c r="B24" s="14" t="s">
        <v>21</v>
      </c>
      <c r="C24" s="15">
        <f>C23*C21</f>
        <v>2002000</v>
      </c>
      <c r="J24"/>
      <c r="L24"/>
      <c r="M24"/>
      <c r="N24"/>
    </row>
    <row r="25" spans="2:14" ht="18" x14ac:dyDescent="0.35">
      <c r="B25" s="12" t="s">
        <v>22</v>
      </c>
      <c r="C25" s="13">
        <v>5000</v>
      </c>
      <c r="J25"/>
      <c r="L25"/>
      <c r="M25"/>
      <c r="N25"/>
    </row>
    <row r="26" spans="2:14" ht="18" x14ac:dyDescent="0.35">
      <c r="B26" s="12" t="s">
        <v>23</v>
      </c>
      <c r="C26" s="13">
        <v>1000</v>
      </c>
      <c r="J26"/>
      <c r="L26"/>
      <c r="M26"/>
      <c r="N26"/>
    </row>
    <row r="27" spans="2:14" ht="18" x14ac:dyDescent="0.35">
      <c r="B27" s="12" t="s">
        <v>24</v>
      </c>
      <c r="C27" s="13">
        <v>15000</v>
      </c>
      <c r="J27"/>
      <c r="L27"/>
      <c r="M27"/>
      <c r="N27"/>
    </row>
    <row r="28" spans="2:14" ht="18" x14ac:dyDescent="0.35">
      <c r="B28" s="12" t="s">
        <v>25</v>
      </c>
      <c r="C28" s="13">
        <v>10000</v>
      </c>
      <c r="J28"/>
      <c r="L28"/>
      <c r="M28"/>
      <c r="N28"/>
    </row>
    <row r="29" spans="2:14" ht="18" x14ac:dyDescent="0.35">
      <c r="B29" s="14" t="s">
        <v>26</v>
      </c>
      <c r="C29" s="15">
        <f>SUM(C25:C28)</f>
        <v>31000</v>
      </c>
    </row>
    <row r="30" spans="2:14" ht="18" x14ac:dyDescent="0.35">
      <c r="B30" s="14" t="s">
        <v>27</v>
      </c>
      <c r="C30" s="15">
        <f>C24+C29</f>
        <v>2033000</v>
      </c>
    </row>
    <row r="31" spans="2:14" ht="18" x14ac:dyDescent="0.35">
      <c r="B31" s="14" t="s">
        <v>28</v>
      </c>
      <c r="C31" s="15">
        <f>C30*30%</f>
        <v>609900</v>
      </c>
    </row>
    <row r="32" spans="2:14" ht="18.600000000000001" thickBot="1" x14ac:dyDescent="0.4">
      <c r="B32" s="16" t="s">
        <v>29</v>
      </c>
      <c r="C32" s="17">
        <f>C30*1.1</f>
        <v>2236300</v>
      </c>
    </row>
  </sheetData>
  <mergeCells count="2">
    <mergeCell ref="B2:C4"/>
    <mergeCell ref="B5:C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A495-BC9A-4964-A1F7-B1E9AEB511D2}">
  <dimension ref="B1:P209"/>
  <sheetViews>
    <sheetView tabSelected="1" zoomScale="77" zoomScaleNormal="100" workbookViewId="0">
      <pane ySplit="5" topLeftCell="A6" activePane="bottomLeft" state="frozen"/>
      <selection pane="bottomLeft" activeCell="E28" sqref="E28"/>
    </sheetView>
  </sheetViews>
  <sheetFormatPr baseColWidth="10" defaultRowHeight="14.4" x14ac:dyDescent="0.3"/>
  <cols>
    <col min="2" max="2" width="60.33203125" style="1" customWidth="1"/>
    <col min="3" max="3" width="44.6640625" style="2" customWidth="1"/>
    <col min="4" max="4" width="23.33203125" customWidth="1"/>
    <col min="5" max="5" width="4" bestFit="1" customWidth="1"/>
    <col min="6" max="6" width="49.21875" bestFit="1" customWidth="1"/>
    <col min="7" max="7" width="22.6640625" bestFit="1" customWidth="1"/>
    <col min="8" max="8" width="24.5546875" bestFit="1" customWidth="1"/>
    <col min="9" max="9" width="21.5546875" bestFit="1" customWidth="1"/>
    <col min="10" max="10" width="23.6640625" bestFit="1" customWidth="1"/>
    <col min="11" max="11" width="23.6640625" style="3" customWidth="1"/>
    <col min="12" max="12" width="22.33203125" customWidth="1"/>
    <col min="13" max="13" width="20.44140625" style="4" bestFit="1" customWidth="1"/>
    <col min="14" max="14" width="25" style="5" bestFit="1" customWidth="1"/>
    <col min="15" max="15" width="26.5546875" style="5" bestFit="1" customWidth="1"/>
  </cols>
  <sheetData>
    <row r="1" spans="2:7" ht="15" thickBot="1" x14ac:dyDescent="0.35"/>
    <row r="2" spans="2:7" ht="13.95" customHeight="1" x14ac:dyDescent="0.3">
      <c r="B2" s="56" t="s">
        <v>37</v>
      </c>
      <c r="C2" s="57"/>
      <c r="F2" s="56" t="s">
        <v>39</v>
      </c>
      <c r="G2" s="57"/>
    </row>
    <row r="3" spans="2:7" ht="13.95" customHeight="1" x14ac:dyDescent="0.3">
      <c r="B3" s="58"/>
      <c r="C3" s="59"/>
      <c r="F3" s="58"/>
      <c r="G3" s="59"/>
    </row>
    <row r="4" spans="2:7" ht="15" customHeight="1" thickBot="1" x14ac:dyDescent="0.35">
      <c r="B4" s="60"/>
      <c r="C4" s="61"/>
      <c r="F4" s="60"/>
      <c r="G4" s="61"/>
    </row>
    <row r="5" spans="2:7" ht="14.4" customHeight="1" x14ac:dyDescent="0.3">
      <c r="B5" s="62" t="s">
        <v>1</v>
      </c>
      <c r="C5" s="63"/>
    </row>
    <row r="6" spans="2:7" ht="14.4" customHeight="1" x14ac:dyDescent="0.3">
      <c r="B6" s="6" t="s">
        <v>2</v>
      </c>
      <c r="C6" s="7"/>
    </row>
    <row r="7" spans="2:7" ht="15" customHeight="1" x14ac:dyDescent="0.3">
      <c r="B7" s="6" t="s">
        <v>3</v>
      </c>
      <c r="C7" s="7"/>
      <c r="G7" s="55"/>
    </row>
    <row r="8" spans="2:7" x14ac:dyDescent="0.3">
      <c r="B8" s="6" t="s">
        <v>4</v>
      </c>
      <c r="C8" s="7"/>
    </row>
    <row r="9" spans="2:7" x14ac:dyDescent="0.3">
      <c r="B9" s="6" t="s">
        <v>5</v>
      </c>
      <c r="C9" s="7"/>
      <c r="F9" s="31" t="s">
        <v>49</v>
      </c>
      <c r="G9" s="32" t="s">
        <v>43</v>
      </c>
    </row>
    <row r="10" spans="2:7" ht="15.6" x14ac:dyDescent="0.3">
      <c r="B10" s="6" t="s">
        <v>6</v>
      </c>
      <c r="C10" s="7"/>
      <c r="F10" s="27" t="s">
        <v>52</v>
      </c>
      <c r="G10" s="29">
        <f>C24+C29</f>
        <v>115564.99999999999</v>
      </c>
    </row>
    <row r="11" spans="2:7" ht="15.6" x14ac:dyDescent="0.3">
      <c r="B11" s="6" t="s">
        <v>7</v>
      </c>
      <c r="C11" s="7"/>
      <c r="F11" s="28" t="s">
        <v>54</v>
      </c>
      <c r="G11" s="30">
        <f>C32</f>
        <v>480435.99999999994</v>
      </c>
    </row>
    <row r="12" spans="2:7" ht="15.6" x14ac:dyDescent="0.3">
      <c r="B12" s="6" t="s">
        <v>8</v>
      </c>
      <c r="C12" s="7"/>
      <c r="F12" s="27" t="s">
        <v>51</v>
      </c>
      <c r="G12" s="29">
        <f>G11-G10</f>
        <v>364870.99999999994</v>
      </c>
    </row>
    <row r="13" spans="2:7" ht="15.6" x14ac:dyDescent="0.3">
      <c r="B13" s="6" t="s">
        <v>9</v>
      </c>
      <c r="C13" s="7"/>
      <c r="F13" s="33" t="s">
        <v>55</v>
      </c>
      <c r="G13" s="34"/>
    </row>
    <row r="14" spans="2:7" ht="15.6" x14ac:dyDescent="0.3">
      <c r="B14" s="6" t="s">
        <v>10</v>
      </c>
      <c r="C14" s="7"/>
      <c r="F14" s="33" t="s">
        <v>50</v>
      </c>
      <c r="G14" s="34"/>
    </row>
    <row r="15" spans="2:7" x14ac:dyDescent="0.3">
      <c r="B15" s="6" t="s">
        <v>11</v>
      </c>
      <c r="C15" s="7"/>
    </row>
    <row r="16" spans="2:7" x14ac:dyDescent="0.3">
      <c r="B16" s="6" t="s">
        <v>12</v>
      </c>
      <c r="C16" s="7"/>
    </row>
    <row r="17" spans="2:15" x14ac:dyDescent="0.3">
      <c r="B17" s="8" t="s">
        <v>13</v>
      </c>
      <c r="C17" s="37" t="s">
        <v>43</v>
      </c>
      <c r="F17" s="21" t="s">
        <v>42</v>
      </c>
      <c r="G17" s="22" t="s">
        <v>43</v>
      </c>
    </row>
    <row r="18" spans="2:15" ht="18" x14ac:dyDescent="0.35">
      <c r="B18" s="40" t="s">
        <v>59</v>
      </c>
      <c r="C18" s="11">
        <v>63</v>
      </c>
      <c r="F18" s="23" t="s">
        <v>41</v>
      </c>
      <c r="G18" s="24">
        <f>C32*2</f>
        <v>960871.99999999988</v>
      </c>
    </row>
    <row r="19" spans="2:15" ht="18" x14ac:dyDescent="0.35">
      <c r="B19" s="40" t="s">
        <v>63</v>
      </c>
      <c r="C19" s="11">
        <v>1</v>
      </c>
      <c r="F19" s="23" t="s">
        <v>40</v>
      </c>
      <c r="G19" s="24">
        <f>G18*18%</f>
        <v>172956.95999999996</v>
      </c>
      <c r="K19"/>
      <c r="M19"/>
      <c r="N19"/>
      <c r="O19"/>
    </row>
    <row r="20" spans="2:15" ht="18" x14ac:dyDescent="0.35">
      <c r="B20" s="40" t="s">
        <v>30</v>
      </c>
      <c r="C20" s="11">
        <v>700</v>
      </c>
      <c r="F20" s="23" t="s">
        <v>53</v>
      </c>
      <c r="G20" s="24">
        <f>G18+G19</f>
        <v>1133828.96</v>
      </c>
      <c r="K20"/>
      <c r="M20"/>
      <c r="N20"/>
      <c r="O20"/>
    </row>
    <row r="21" spans="2:15" ht="18" x14ac:dyDescent="0.35">
      <c r="B21" s="39" t="s">
        <v>34</v>
      </c>
      <c r="C21" s="11">
        <v>437</v>
      </c>
      <c r="F21" s="23" t="s">
        <v>62</v>
      </c>
      <c r="G21" s="26">
        <v>0</v>
      </c>
      <c r="K21"/>
      <c r="M21"/>
      <c r="N21"/>
      <c r="O21"/>
    </row>
    <row r="22" spans="2:15" ht="18" x14ac:dyDescent="0.35">
      <c r="B22" s="38" t="s">
        <v>35</v>
      </c>
      <c r="C22" s="13">
        <v>35</v>
      </c>
      <c r="F22" s="25" t="s">
        <v>61</v>
      </c>
      <c r="G22" s="26">
        <f>G20-G21</f>
        <v>1133828.96</v>
      </c>
      <c r="K22"/>
      <c r="M22"/>
      <c r="N22"/>
      <c r="O22"/>
    </row>
    <row r="23" spans="2:15" ht="18" x14ac:dyDescent="0.35">
      <c r="B23" s="18" t="s">
        <v>36</v>
      </c>
      <c r="C23" s="13">
        <f>(C21*C22)/100</f>
        <v>152.94999999999999</v>
      </c>
      <c r="F23" s="35" t="s">
        <v>60</v>
      </c>
      <c r="G23" s="41">
        <f>G22/2</f>
        <v>566914.48</v>
      </c>
      <c r="K23"/>
      <c r="M23"/>
      <c r="N23"/>
      <c r="O23"/>
    </row>
    <row r="24" spans="2:15" ht="18" x14ac:dyDescent="0.35">
      <c r="B24" s="19" t="s">
        <v>31</v>
      </c>
      <c r="C24" s="15">
        <f>C23*C20</f>
        <v>107064.99999999999</v>
      </c>
      <c r="K24"/>
      <c r="M24"/>
      <c r="N24"/>
      <c r="O24"/>
    </row>
    <row r="25" spans="2:15" ht="18" x14ac:dyDescent="0.35">
      <c r="B25" s="19" t="s">
        <v>48</v>
      </c>
      <c r="C25" s="15">
        <f>C24*4</f>
        <v>428259.99999999994</v>
      </c>
      <c r="K25"/>
      <c r="M25"/>
      <c r="N25"/>
      <c r="O25"/>
    </row>
    <row r="26" spans="2:15" ht="18" x14ac:dyDescent="0.35">
      <c r="B26" s="18" t="s">
        <v>32</v>
      </c>
      <c r="C26" s="13">
        <v>6000</v>
      </c>
      <c r="G26">
        <f>C32/63</f>
        <v>7625.9682539682526</v>
      </c>
      <c r="H26" t="s">
        <v>64</v>
      </c>
      <c r="K26"/>
      <c r="M26"/>
      <c r="N26"/>
      <c r="O26"/>
    </row>
    <row r="27" spans="2:15" ht="18" x14ac:dyDescent="0.35">
      <c r="B27" s="18" t="s">
        <v>47</v>
      </c>
      <c r="C27" s="13">
        <v>0</v>
      </c>
      <c r="G27">
        <f>C32/51</f>
        <v>9420.3137254901958</v>
      </c>
      <c r="H27" t="s">
        <v>65</v>
      </c>
      <c r="K27"/>
      <c r="M27"/>
      <c r="N27"/>
      <c r="O27"/>
    </row>
    <row r="28" spans="2:15" ht="18" x14ac:dyDescent="0.35">
      <c r="B28" s="18" t="s">
        <v>33</v>
      </c>
      <c r="C28" s="13">
        <v>2500</v>
      </c>
      <c r="G28">
        <f>C32/49</f>
        <v>9804.8163265306102</v>
      </c>
      <c r="H28" t="s">
        <v>66</v>
      </c>
      <c r="K28"/>
      <c r="M28"/>
      <c r="N28"/>
      <c r="O28"/>
    </row>
    <row r="29" spans="2:15" ht="18" x14ac:dyDescent="0.35">
      <c r="B29" s="14" t="s">
        <v>26</v>
      </c>
      <c r="C29" s="15">
        <f>SUM(C26:C28)</f>
        <v>8500</v>
      </c>
      <c r="G29">
        <f>(C32/58)*2</f>
        <v>16566.758620689652</v>
      </c>
      <c r="H29" t="s">
        <v>147</v>
      </c>
      <c r="K29"/>
      <c r="M29"/>
      <c r="N29"/>
      <c r="O29"/>
    </row>
    <row r="30" spans="2:15" ht="18" x14ac:dyDescent="0.35">
      <c r="B30" s="14" t="s">
        <v>27</v>
      </c>
      <c r="C30" s="15">
        <f>C25+C29</f>
        <v>436759.99999999994</v>
      </c>
      <c r="K30"/>
      <c r="M30"/>
      <c r="N30"/>
      <c r="O30"/>
    </row>
    <row r="31" spans="2:15" ht="18" x14ac:dyDescent="0.35">
      <c r="B31" s="19" t="s">
        <v>28</v>
      </c>
      <c r="C31" s="15">
        <f>C30*10%</f>
        <v>43676</v>
      </c>
    </row>
    <row r="32" spans="2:15" ht="18.600000000000001" thickBot="1" x14ac:dyDescent="0.4">
      <c r="B32" s="20" t="s">
        <v>38</v>
      </c>
      <c r="C32" s="17">
        <f>C30+C31</f>
        <v>480435.99999999994</v>
      </c>
    </row>
    <row r="36" spans="2:16" x14ac:dyDescent="0.3">
      <c r="F36" s="48" t="s">
        <v>56</v>
      </c>
    </row>
    <row r="37" spans="2:16" x14ac:dyDescent="0.3">
      <c r="C37" s="2">
        <f ca="1">+C32:C37</f>
        <v>0</v>
      </c>
    </row>
    <row r="38" spans="2:16" x14ac:dyDescent="0.3">
      <c r="E38" s="48" t="s">
        <v>79</v>
      </c>
      <c r="F38" s="31" t="s">
        <v>75</v>
      </c>
      <c r="G38" s="49" t="s">
        <v>80</v>
      </c>
      <c r="H38" s="32" t="s">
        <v>57</v>
      </c>
      <c r="I38" s="36" t="s">
        <v>58</v>
      </c>
      <c r="K38"/>
      <c r="L38" s="3"/>
      <c r="M38"/>
      <c r="N38" s="4"/>
      <c r="P38" s="5"/>
    </row>
    <row r="39" spans="2:16" ht="15.6" x14ac:dyDescent="0.3">
      <c r="E39" s="54">
        <v>1</v>
      </c>
      <c r="F39" s="42" t="s">
        <v>76</v>
      </c>
      <c r="G39" s="52">
        <v>330</v>
      </c>
      <c r="H39" s="29">
        <v>6600</v>
      </c>
      <c r="I39" s="34"/>
      <c r="K39"/>
      <c r="L39" s="3"/>
      <c r="M39"/>
      <c r="N39" s="4"/>
      <c r="P39" s="5"/>
    </row>
    <row r="40" spans="2:16" ht="15.6" x14ac:dyDescent="0.3">
      <c r="B40" s="1" t="s">
        <v>44</v>
      </c>
      <c r="E40" s="54">
        <v>2</v>
      </c>
      <c r="F40" s="42" t="s">
        <v>77</v>
      </c>
      <c r="G40" s="50">
        <v>395</v>
      </c>
      <c r="H40" s="47" t="s">
        <v>130</v>
      </c>
      <c r="I40" s="34"/>
      <c r="K40"/>
      <c r="L40" s="3"/>
      <c r="M40"/>
      <c r="N40" s="4"/>
      <c r="P40" s="5"/>
    </row>
    <row r="41" spans="2:16" ht="15.6" x14ac:dyDescent="0.3">
      <c r="C41">
        <v>63</v>
      </c>
      <c r="E41" s="54">
        <v>3</v>
      </c>
      <c r="F41" s="42" t="s">
        <v>78</v>
      </c>
      <c r="G41" s="50">
        <v>135</v>
      </c>
      <c r="H41" s="29">
        <v>2000</v>
      </c>
      <c r="I41" s="34"/>
      <c r="K41"/>
      <c r="L41" s="3"/>
      <c r="M41"/>
      <c r="N41" s="4"/>
      <c r="P41" s="5"/>
    </row>
    <row r="42" spans="2:16" ht="15.6" x14ac:dyDescent="0.3">
      <c r="C42">
        <v>51</v>
      </c>
      <c r="E42" s="54">
        <v>4</v>
      </c>
      <c r="F42" s="45" t="s">
        <v>81</v>
      </c>
      <c r="G42" s="51">
        <v>233</v>
      </c>
      <c r="H42" s="34">
        <v>3000</v>
      </c>
      <c r="I42" s="34"/>
      <c r="K42"/>
      <c r="L42" s="3"/>
      <c r="M42"/>
      <c r="N42" s="4"/>
      <c r="P42" s="5"/>
    </row>
    <row r="43" spans="2:16" ht="15.6" x14ac:dyDescent="0.3">
      <c r="C43">
        <v>49</v>
      </c>
      <c r="E43" s="54">
        <v>5</v>
      </c>
      <c r="F43" s="45" t="s">
        <v>82</v>
      </c>
      <c r="G43" s="51">
        <v>270</v>
      </c>
      <c r="H43" s="34">
        <v>3500</v>
      </c>
      <c r="I43" s="34"/>
      <c r="K43"/>
      <c r="L43" s="3"/>
      <c r="M43"/>
      <c r="N43" s="4"/>
      <c r="P43" s="5"/>
    </row>
    <row r="44" spans="2:16" ht="15.6" x14ac:dyDescent="0.3">
      <c r="B44" s="1" t="s">
        <v>68</v>
      </c>
      <c r="E44" s="54">
        <v>6</v>
      </c>
      <c r="F44" s="42" t="s">
        <v>83</v>
      </c>
      <c r="G44" s="50">
        <v>165</v>
      </c>
      <c r="H44" s="29"/>
      <c r="I44" s="34"/>
      <c r="K44"/>
      <c r="L44" s="3"/>
      <c r="M44"/>
      <c r="N44" s="4"/>
      <c r="P44" s="5"/>
    </row>
    <row r="45" spans="2:16" ht="15.6" x14ac:dyDescent="0.3">
      <c r="B45" s="1" t="s">
        <v>45</v>
      </c>
      <c r="C45" s="2">
        <v>12000</v>
      </c>
      <c r="E45" s="54">
        <v>7</v>
      </c>
      <c r="F45" s="42" t="s">
        <v>84</v>
      </c>
      <c r="G45" s="52">
        <v>63</v>
      </c>
      <c r="H45" s="47" t="s">
        <v>72</v>
      </c>
      <c r="I45" s="34"/>
      <c r="K45"/>
      <c r="L45" s="3"/>
      <c r="M45"/>
      <c r="N45" s="4"/>
      <c r="P45" s="5"/>
    </row>
    <row r="46" spans="2:16" ht="15.6" x14ac:dyDescent="0.3">
      <c r="B46" s="1" t="s">
        <v>46</v>
      </c>
      <c r="C46" s="2">
        <v>5000</v>
      </c>
      <c r="E46" s="54">
        <v>8</v>
      </c>
      <c r="F46" s="42" t="s">
        <v>85</v>
      </c>
      <c r="G46" s="52">
        <v>345</v>
      </c>
      <c r="H46" s="29">
        <v>7100</v>
      </c>
      <c r="I46" s="34"/>
      <c r="K46"/>
      <c r="L46" s="3"/>
      <c r="M46"/>
      <c r="N46" s="4"/>
      <c r="P46" s="5"/>
    </row>
    <row r="47" spans="2:16" ht="15.6" x14ac:dyDescent="0.3">
      <c r="B47" s="1" t="s">
        <v>69</v>
      </c>
      <c r="E47" s="54">
        <v>9</v>
      </c>
      <c r="F47" s="42" t="s">
        <v>86</v>
      </c>
      <c r="G47" s="52">
        <v>230</v>
      </c>
      <c r="H47" s="29">
        <v>4500</v>
      </c>
      <c r="I47" s="34"/>
      <c r="K47"/>
      <c r="L47" s="3"/>
      <c r="M47"/>
      <c r="N47" s="4"/>
      <c r="P47" s="5"/>
    </row>
    <row r="48" spans="2:16" ht="15.6" x14ac:dyDescent="0.3">
      <c r="B48" s="1" t="s">
        <v>45</v>
      </c>
      <c r="C48" s="2">
        <v>22000</v>
      </c>
      <c r="E48" s="54">
        <v>10</v>
      </c>
      <c r="F48" s="42" t="s">
        <v>87</v>
      </c>
      <c r="G48" s="52">
        <v>370</v>
      </c>
      <c r="H48" s="29"/>
      <c r="I48" s="34"/>
      <c r="K48"/>
      <c r="L48" s="3"/>
      <c r="M48"/>
      <c r="N48" s="4"/>
      <c r="P48" s="5"/>
    </row>
    <row r="49" spans="2:16" ht="15.6" x14ac:dyDescent="0.3">
      <c r="B49" s="1" t="s">
        <v>46</v>
      </c>
      <c r="C49" s="2">
        <v>7000</v>
      </c>
      <c r="E49" s="54">
        <v>11</v>
      </c>
      <c r="F49" s="42" t="s">
        <v>88</v>
      </c>
      <c r="G49" s="52">
        <v>300</v>
      </c>
      <c r="H49" s="29">
        <v>4000</v>
      </c>
      <c r="I49" s="34"/>
      <c r="K49"/>
      <c r="L49" s="3"/>
      <c r="M49"/>
      <c r="N49" s="4"/>
      <c r="P49" s="5"/>
    </row>
    <row r="50" spans="2:16" ht="15.6" x14ac:dyDescent="0.3">
      <c r="E50" s="54">
        <v>12</v>
      </c>
      <c r="F50" s="42" t="s">
        <v>89</v>
      </c>
      <c r="G50" s="52">
        <v>350</v>
      </c>
      <c r="H50" s="29">
        <v>7000</v>
      </c>
      <c r="I50" s="34"/>
      <c r="K50"/>
      <c r="L50" s="3"/>
      <c r="M50"/>
      <c r="N50" s="4"/>
      <c r="P50" s="5"/>
    </row>
    <row r="51" spans="2:16" ht="15.6" x14ac:dyDescent="0.3">
      <c r="E51" s="54">
        <v>13</v>
      </c>
      <c r="F51" s="42" t="s">
        <v>90</v>
      </c>
      <c r="G51" s="52">
        <v>430</v>
      </c>
      <c r="H51" s="29"/>
      <c r="I51" s="34"/>
      <c r="K51"/>
      <c r="L51" s="3"/>
      <c r="M51"/>
      <c r="N51" s="4"/>
      <c r="P51" s="5"/>
    </row>
    <row r="52" spans="2:16" ht="15.6" x14ac:dyDescent="0.3">
      <c r="E52" s="54">
        <v>14</v>
      </c>
      <c r="F52" s="42" t="s">
        <v>91</v>
      </c>
      <c r="G52" s="52">
        <v>80</v>
      </c>
      <c r="H52" s="29">
        <v>2000</v>
      </c>
      <c r="I52" s="34"/>
      <c r="K52"/>
      <c r="L52" s="3"/>
      <c r="M52"/>
      <c r="N52" s="4"/>
      <c r="P52" s="5"/>
    </row>
    <row r="53" spans="2:16" ht="15.6" x14ac:dyDescent="0.3">
      <c r="E53" s="54">
        <v>15</v>
      </c>
      <c r="F53" s="42" t="s">
        <v>92</v>
      </c>
      <c r="G53" s="52">
        <v>558</v>
      </c>
      <c r="H53" s="29"/>
      <c r="I53" s="34"/>
      <c r="K53"/>
      <c r="L53" s="3"/>
      <c r="M53"/>
      <c r="N53" s="4"/>
      <c r="P53" s="5"/>
    </row>
    <row r="54" spans="2:16" ht="15.6" x14ac:dyDescent="0.3">
      <c r="E54" s="54">
        <v>16</v>
      </c>
      <c r="F54" s="42" t="s">
        <v>93</v>
      </c>
      <c r="G54" s="52">
        <v>50</v>
      </c>
      <c r="H54" s="29"/>
      <c r="I54" s="34"/>
      <c r="K54"/>
      <c r="L54" s="3"/>
      <c r="M54"/>
      <c r="N54" s="4"/>
      <c r="P54" s="5"/>
    </row>
    <row r="55" spans="2:16" ht="15.6" x14ac:dyDescent="0.3">
      <c r="E55" s="54">
        <v>17</v>
      </c>
      <c r="F55" s="42" t="s">
        <v>73</v>
      </c>
      <c r="G55" s="52">
        <v>389</v>
      </c>
      <c r="H55" s="46" t="s">
        <v>121</v>
      </c>
      <c r="I55" s="34"/>
      <c r="K55"/>
      <c r="L55" s="3"/>
      <c r="M55"/>
      <c r="N55" s="4"/>
      <c r="P55" s="5"/>
    </row>
    <row r="56" spans="2:16" ht="15.6" x14ac:dyDescent="0.3">
      <c r="E56" s="54">
        <v>18</v>
      </c>
      <c r="F56" s="42" t="s">
        <v>74</v>
      </c>
      <c r="G56" s="52">
        <v>562</v>
      </c>
      <c r="H56" s="29"/>
      <c r="I56" s="34"/>
      <c r="K56"/>
      <c r="L56" s="3"/>
      <c r="M56"/>
      <c r="N56" s="4"/>
      <c r="P56" s="5"/>
    </row>
    <row r="57" spans="2:16" ht="15.6" x14ac:dyDescent="0.3">
      <c r="E57" s="54">
        <v>19</v>
      </c>
      <c r="F57" s="42" t="s">
        <v>94</v>
      </c>
      <c r="G57" s="52">
        <v>220</v>
      </c>
      <c r="H57" s="29">
        <v>3000</v>
      </c>
      <c r="I57" s="34"/>
      <c r="K57"/>
      <c r="L57" s="3"/>
      <c r="M57"/>
      <c r="N57" s="4"/>
      <c r="P57" s="5"/>
    </row>
    <row r="58" spans="2:16" ht="15.6" x14ac:dyDescent="0.3">
      <c r="E58" s="54">
        <v>20</v>
      </c>
      <c r="F58" s="42" t="s">
        <v>95</v>
      </c>
      <c r="G58" s="52">
        <v>713</v>
      </c>
      <c r="H58" s="29">
        <v>13000</v>
      </c>
      <c r="I58" s="34"/>
      <c r="K58"/>
      <c r="L58" s="3"/>
      <c r="M58"/>
      <c r="N58" s="4"/>
      <c r="P58" s="5"/>
    </row>
    <row r="59" spans="2:16" ht="15.6" x14ac:dyDescent="0.3">
      <c r="E59" s="54">
        <v>21</v>
      </c>
      <c r="F59" s="42" t="s">
        <v>96</v>
      </c>
      <c r="G59" s="52">
        <v>95</v>
      </c>
      <c r="H59" s="29"/>
      <c r="I59" s="34"/>
      <c r="K59"/>
      <c r="L59" s="3"/>
      <c r="M59"/>
      <c r="N59" s="4"/>
      <c r="P59" s="5"/>
    </row>
    <row r="60" spans="2:16" ht="15.6" x14ac:dyDescent="0.3">
      <c r="E60" s="54">
        <v>22</v>
      </c>
      <c r="F60" s="42" t="s">
        <v>97</v>
      </c>
      <c r="G60" s="52">
        <v>55</v>
      </c>
      <c r="H60" s="29">
        <v>1000</v>
      </c>
      <c r="I60" s="34"/>
      <c r="K60"/>
      <c r="L60" s="3"/>
      <c r="M60"/>
      <c r="N60" s="4"/>
      <c r="P60" s="5"/>
    </row>
    <row r="61" spans="2:16" ht="15.6" x14ac:dyDescent="0.3">
      <c r="E61" s="54">
        <v>23</v>
      </c>
      <c r="F61" s="42" t="s">
        <v>98</v>
      </c>
      <c r="G61" s="52">
        <v>375</v>
      </c>
      <c r="H61" s="29">
        <v>7100</v>
      </c>
      <c r="I61" s="34"/>
      <c r="K61"/>
      <c r="L61" s="3"/>
      <c r="M61"/>
      <c r="N61" s="4"/>
      <c r="P61" s="5"/>
    </row>
    <row r="62" spans="2:16" ht="15.6" x14ac:dyDescent="0.3">
      <c r="E62" s="54">
        <v>24</v>
      </c>
      <c r="F62" s="42" t="s">
        <v>99</v>
      </c>
      <c r="G62" s="52">
        <v>141</v>
      </c>
      <c r="H62" s="29">
        <v>4000</v>
      </c>
      <c r="I62" s="34"/>
      <c r="K62"/>
      <c r="L62" s="3"/>
      <c r="M62"/>
      <c r="N62" s="4"/>
      <c r="P62" s="5"/>
    </row>
    <row r="63" spans="2:16" ht="15.6" x14ac:dyDescent="0.3">
      <c r="E63" s="54">
        <v>25</v>
      </c>
      <c r="F63" s="42" t="s">
        <v>100</v>
      </c>
      <c r="G63" s="52">
        <v>337</v>
      </c>
      <c r="H63" s="29">
        <v>5000</v>
      </c>
      <c r="I63" s="34"/>
      <c r="K63"/>
      <c r="L63" s="3"/>
      <c r="M63"/>
      <c r="N63" s="4"/>
      <c r="P63" s="5"/>
    </row>
    <row r="64" spans="2:16" ht="15.6" x14ac:dyDescent="0.3">
      <c r="E64" s="54">
        <v>26</v>
      </c>
      <c r="F64" s="42" t="s">
        <v>101</v>
      </c>
      <c r="G64" s="52">
        <v>44</v>
      </c>
      <c r="H64" s="29">
        <v>2500</v>
      </c>
      <c r="I64" s="34"/>
      <c r="K64"/>
      <c r="L64" s="3"/>
      <c r="M64"/>
      <c r="N64" s="4"/>
      <c r="P64" s="5"/>
    </row>
    <row r="65" spans="5:16" ht="15.6" x14ac:dyDescent="0.3">
      <c r="E65" s="54">
        <v>27</v>
      </c>
      <c r="F65" s="42" t="s">
        <v>102</v>
      </c>
      <c r="G65" s="52">
        <v>245</v>
      </c>
      <c r="H65" s="29"/>
      <c r="I65" s="34"/>
      <c r="K65"/>
      <c r="L65" s="3"/>
      <c r="M65"/>
      <c r="N65" s="4"/>
      <c r="P65" s="5"/>
    </row>
    <row r="66" spans="5:16" ht="15.6" x14ac:dyDescent="0.3">
      <c r="E66" s="54">
        <v>28</v>
      </c>
      <c r="F66" s="42" t="s">
        <v>103</v>
      </c>
      <c r="G66" s="52">
        <v>233</v>
      </c>
      <c r="H66" s="29"/>
      <c r="I66" s="34"/>
      <c r="K66"/>
      <c r="L66" s="3"/>
      <c r="M66"/>
      <c r="N66" s="4"/>
      <c r="P66" s="5"/>
    </row>
    <row r="67" spans="5:16" ht="15.6" x14ac:dyDescent="0.3">
      <c r="E67" s="54">
        <v>29</v>
      </c>
      <c r="F67" s="42" t="s">
        <v>104</v>
      </c>
      <c r="G67" s="52">
        <v>308</v>
      </c>
      <c r="H67" s="29">
        <v>4000</v>
      </c>
      <c r="I67" s="34"/>
      <c r="K67"/>
      <c r="L67" s="3"/>
      <c r="M67"/>
      <c r="N67" s="4"/>
      <c r="P67" s="5"/>
    </row>
    <row r="68" spans="5:16" ht="15.6" x14ac:dyDescent="0.3">
      <c r="E68" s="54">
        <v>30</v>
      </c>
      <c r="F68" s="42" t="s">
        <v>105</v>
      </c>
      <c r="G68" s="52">
        <v>603</v>
      </c>
      <c r="H68" s="29">
        <v>10500</v>
      </c>
      <c r="I68" s="34"/>
      <c r="K68"/>
      <c r="L68" s="3"/>
      <c r="M68"/>
      <c r="N68" s="4"/>
      <c r="P68" s="5"/>
    </row>
    <row r="69" spans="5:16" ht="15.6" x14ac:dyDescent="0.3">
      <c r="E69" s="54">
        <v>31</v>
      </c>
      <c r="F69" s="42" t="s">
        <v>106</v>
      </c>
      <c r="G69" s="52">
        <v>491</v>
      </c>
      <c r="H69" s="29">
        <v>8000</v>
      </c>
      <c r="I69" s="34"/>
      <c r="K69"/>
      <c r="L69" s="3"/>
      <c r="M69"/>
      <c r="N69" s="4"/>
      <c r="P69" s="5"/>
    </row>
    <row r="70" spans="5:16" ht="15.6" x14ac:dyDescent="0.3">
      <c r="E70" s="54">
        <v>32</v>
      </c>
      <c r="F70" s="42" t="s">
        <v>108</v>
      </c>
      <c r="G70" s="52">
        <v>537</v>
      </c>
      <c r="H70" s="46" t="s">
        <v>67</v>
      </c>
      <c r="I70" s="34"/>
      <c r="K70"/>
      <c r="L70" s="3"/>
      <c r="M70"/>
      <c r="N70" s="4"/>
      <c r="P70" s="5"/>
    </row>
    <row r="71" spans="5:16" ht="15.6" x14ac:dyDescent="0.3">
      <c r="E71" s="54">
        <v>33</v>
      </c>
      <c r="F71" s="42" t="s">
        <v>109</v>
      </c>
      <c r="G71" s="52">
        <v>439</v>
      </c>
      <c r="H71" s="29">
        <v>7100</v>
      </c>
      <c r="I71" s="34"/>
      <c r="K71"/>
      <c r="L71" s="3"/>
      <c r="M71"/>
      <c r="N71" s="4"/>
      <c r="P71" s="5"/>
    </row>
    <row r="72" spans="5:16" ht="15.6" x14ac:dyDescent="0.3">
      <c r="E72" s="54">
        <v>34</v>
      </c>
      <c r="F72" s="42" t="s">
        <v>110</v>
      </c>
      <c r="G72" s="52">
        <v>262</v>
      </c>
      <c r="H72" s="29">
        <v>5000</v>
      </c>
      <c r="I72" s="34"/>
      <c r="K72"/>
      <c r="L72" s="3"/>
      <c r="M72"/>
      <c r="N72" s="4"/>
      <c r="P72" s="5"/>
    </row>
    <row r="73" spans="5:16" ht="15.6" x14ac:dyDescent="0.3">
      <c r="E73" s="54">
        <v>35</v>
      </c>
      <c r="F73" s="42" t="s">
        <v>111</v>
      </c>
      <c r="G73" s="52">
        <v>268</v>
      </c>
      <c r="H73" s="29">
        <v>5000</v>
      </c>
      <c r="I73" s="34"/>
      <c r="K73"/>
      <c r="L73" s="3"/>
      <c r="M73"/>
      <c r="N73" s="4"/>
      <c r="P73" s="5"/>
    </row>
    <row r="74" spans="5:16" ht="15.6" x14ac:dyDescent="0.3">
      <c r="E74" s="54">
        <v>36</v>
      </c>
      <c r="F74" s="45" t="s">
        <v>112</v>
      </c>
      <c r="G74" s="53">
        <v>483</v>
      </c>
      <c r="H74" s="34"/>
      <c r="I74" s="34"/>
      <c r="K74"/>
      <c r="L74" s="3"/>
      <c r="M74"/>
      <c r="N74" s="4"/>
      <c r="P74" s="5"/>
    </row>
    <row r="75" spans="5:16" ht="15.6" x14ac:dyDescent="0.3">
      <c r="E75" s="54">
        <v>37</v>
      </c>
      <c r="F75" s="42" t="s">
        <v>113</v>
      </c>
      <c r="G75" s="52">
        <v>247</v>
      </c>
      <c r="H75" s="47" t="s">
        <v>70</v>
      </c>
      <c r="I75" s="34"/>
      <c r="K75"/>
      <c r="L75" s="3"/>
      <c r="M75"/>
      <c r="N75" s="4"/>
      <c r="P75" s="5"/>
    </row>
    <row r="76" spans="5:16" ht="15.6" x14ac:dyDescent="0.3">
      <c r="E76" s="54">
        <v>38</v>
      </c>
      <c r="F76" s="42" t="s">
        <v>114</v>
      </c>
      <c r="G76" s="52">
        <v>118</v>
      </c>
      <c r="H76" s="43">
        <v>2300</v>
      </c>
      <c r="I76" s="34"/>
      <c r="K76"/>
      <c r="L76" s="3"/>
      <c r="M76"/>
      <c r="N76" s="4"/>
      <c r="P76" s="5"/>
    </row>
    <row r="77" spans="5:16" ht="15.6" x14ac:dyDescent="0.3">
      <c r="E77" s="54">
        <v>39</v>
      </c>
      <c r="F77" s="42" t="s">
        <v>115</v>
      </c>
      <c r="G77" s="52">
        <v>351</v>
      </c>
      <c r="H77" s="47" t="s">
        <v>71</v>
      </c>
      <c r="I77" s="34"/>
      <c r="K77"/>
      <c r="L77" s="3"/>
      <c r="M77"/>
      <c r="N77" s="4"/>
      <c r="P77" s="5"/>
    </row>
    <row r="78" spans="5:16" ht="15.6" x14ac:dyDescent="0.3">
      <c r="E78" s="54">
        <v>40</v>
      </c>
      <c r="F78" s="42" t="s">
        <v>116</v>
      </c>
      <c r="G78" s="52">
        <v>275</v>
      </c>
      <c r="H78" s="43">
        <v>6100</v>
      </c>
      <c r="I78" s="34"/>
      <c r="K78"/>
      <c r="L78" s="3"/>
      <c r="M78"/>
      <c r="N78" s="4"/>
      <c r="P78" s="5"/>
    </row>
    <row r="79" spans="5:16" ht="15.6" x14ac:dyDescent="0.3">
      <c r="E79" s="54">
        <v>41</v>
      </c>
      <c r="F79" s="42" t="s">
        <v>117</v>
      </c>
      <c r="G79" s="52">
        <v>349</v>
      </c>
      <c r="H79" s="43">
        <v>6000</v>
      </c>
      <c r="I79" s="34"/>
      <c r="K79"/>
      <c r="L79" s="3"/>
      <c r="M79"/>
      <c r="N79" s="4"/>
      <c r="P79" s="5"/>
    </row>
    <row r="80" spans="5:16" ht="15.6" x14ac:dyDescent="0.3">
      <c r="E80" s="54">
        <v>42</v>
      </c>
      <c r="F80" s="42" t="s">
        <v>118</v>
      </c>
      <c r="G80" s="52">
        <v>55</v>
      </c>
      <c r="H80" s="43">
        <v>1900</v>
      </c>
      <c r="I80" s="34"/>
      <c r="K80"/>
      <c r="L80" s="3"/>
      <c r="M80"/>
      <c r="N80" s="4"/>
      <c r="P80" s="5"/>
    </row>
    <row r="81" spans="5:16" ht="15.6" x14ac:dyDescent="0.3">
      <c r="E81" s="54">
        <v>43</v>
      </c>
      <c r="F81" s="42" t="s">
        <v>119</v>
      </c>
      <c r="G81" s="52">
        <v>96</v>
      </c>
      <c r="H81" s="43"/>
      <c r="I81" s="34"/>
      <c r="K81"/>
      <c r="L81" s="3"/>
      <c r="M81"/>
      <c r="N81" s="4"/>
      <c r="P81" s="5"/>
    </row>
    <row r="82" spans="5:16" ht="15.6" x14ac:dyDescent="0.3">
      <c r="E82" s="54">
        <v>44</v>
      </c>
      <c r="F82" s="45" t="s">
        <v>120</v>
      </c>
      <c r="G82" s="53">
        <v>363</v>
      </c>
      <c r="H82" s="44">
        <v>5000</v>
      </c>
      <c r="I82" s="34"/>
      <c r="K82"/>
      <c r="L82" s="3"/>
      <c r="M82"/>
      <c r="N82" s="4"/>
      <c r="P82" s="5"/>
    </row>
    <row r="83" spans="5:16" ht="15.6" x14ac:dyDescent="0.3">
      <c r="E83" s="54">
        <v>45</v>
      </c>
      <c r="F83" s="42" t="s">
        <v>107</v>
      </c>
      <c r="G83" s="52">
        <v>60</v>
      </c>
      <c r="H83" s="43"/>
      <c r="I83" s="34"/>
      <c r="K83"/>
      <c r="L83" s="3"/>
      <c r="M83"/>
      <c r="N83" s="4"/>
      <c r="P83" s="5"/>
    </row>
    <row r="84" spans="5:16" ht="15.6" x14ac:dyDescent="0.3">
      <c r="E84" s="54">
        <v>46</v>
      </c>
      <c r="F84" s="42" t="s">
        <v>122</v>
      </c>
      <c r="G84" s="52">
        <v>289</v>
      </c>
      <c r="H84" s="47">
        <v>5000</v>
      </c>
      <c r="I84" s="34"/>
      <c r="K84"/>
      <c r="L84" s="3"/>
      <c r="M84"/>
      <c r="N84" s="4"/>
      <c r="P84" s="5"/>
    </row>
    <row r="85" spans="5:16" ht="15.6" x14ac:dyDescent="0.3">
      <c r="E85" s="54">
        <v>47</v>
      </c>
      <c r="F85" s="42" t="s">
        <v>123</v>
      </c>
      <c r="G85" s="52">
        <v>107</v>
      </c>
      <c r="H85" s="43"/>
      <c r="I85" s="34"/>
      <c r="K85"/>
      <c r="L85" s="3"/>
      <c r="M85"/>
      <c r="N85" s="4"/>
      <c r="P85" s="5"/>
    </row>
    <row r="86" spans="5:16" ht="15.6" x14ac:dyDescent="0.3">
      <c r="E86" s="54">
        <v>48</v>
      </c>
      <c r="F86" s="45" t="s">
        <v>124</v>
      </c>
      <c r="G86" s="53">
        <v>551</v>
      </c>
      <c r="H86" s="44">
        <v>9000</v>
      </c>
      <c r="I86" s="34"/>
      <c r="K86"/>
      <c r="L86" s="3"/>
      <c r="M86"/>
      <c r="N86" s="4"/>
      <c r="P86" s="5"/>
    </row>
    <row r="87" spans="5:16" ht="15.6" x14ac:dyDescent="0.3">
      <c r="E87" s="54">
        <v>49</v>
      </c>
      <c r="F87" s="42" t="s">
        <v>125</v>
      </c>
      <c r="G87" s="52"/>
      <c r="H87" s="43">
        <v>9000</v>
      </c>
      <c r="I87" s="34"/>
    </row>
    <row r="88" spans="5:16" ht="15.6" x14ac:dyDescent="0.3">
      <c r="E88" s="54">
        <v>50</v>
      </c>
      <c r="F88" s="45" t="s">
        <v>126</v>
      </c>
      <c r="G88" s="53"/>
      <c r="H88" s="44">
        <v>7000</v>
      </c>
      <c r="I88" s="34"/>
    </row>
    <row r="89" spans="5:16" ht="15.6" x14ac:dyDescent="0.3">
      <c r="E89" s="54">
        <v>51</v>
      </c>
      <c r="F89" s="42" t="s">
        <v>127</v>
      </c>
      <c r="G89" s="52"/>
      <c r="H89" s="43">
        <v>4000</v>
      </c>
      <c r="I89" s="34"/>
    </row>
    <row r="90" spans="5:16" ht="15.6" x14ac:dyDescent="0.3">
      <c r="E90" s="54">
        <v>52</v>
      </c>
      <c r="F90" s="42" t="s">
        <v>128</v>
      </c>
      <c r="G90" s="52"/>
      <c r="H90" s="43">
        <v>5000</v>
      </c>
      <c r="I90" s="34"/>
    </row>
    <row r="91" spans="5:16" ht="15.6" x14ac:dyDescent="0.3">
      <c r="E91" s="54">
        <v>53</v>
      </c>
      <c r="F91" s="42" t="s">
        <v>129</v>
      </c>
      <c r="G91" s="52"/>
      <c r="H91" s="43">
        <v>5000</v>
      </c>
      <c r="I91" s="34"/>
    </row>
    <row r="92" spans="5:16" ht="15.6" x14ac:dyDescent="0.3">
      <c r="E92" s="54">
        <v>54</v>
      </c>
      <c r="F92" s="42" t="s">
        <v>131</v>
      </c>
      <c r="G92" s="52"/>
      <c r="H92" s="43">
        <v>1500</v>
      </c>
      <c r="I92" s="34"/>
    </row>
    <row r="93" spans="5:16" ht="15.6" x14ac:dyDescent="0.3">
      <c r="E93" s="54">
        <v>55</v>
      </c>
      <c r="F93" s="42" t="s">
        <v>132</v>
      </c>
      <c r="G93" s="52"/>
      <c r="H93" s="43">
        <v>2000</v>
      </c>
      <c r="I93" s="34"/>
    </row>
    <row r="94" spans="5:16" ht="15.6" x14ac:dyDescent="0.3">
      <c r="E94" s="54">
        <v>56</v>
      </c>
      <c r="F94" s="42" t="s">
        <v>133</v>
      </c>
      <c r="G94" s="52"/>
      <c r="H94" s="43">
        <v>2000</v>
      </c>
      <c r="I94" s="34"/>
    </row>
    <row r="95" spans="5:16" ht="15.6" x14ac:dyDescent="0.3">
      <c r="E95" s="54">
        <v>57</v>
      </c>
      <c r="F95" s="42" t="s">
        <v>134</v>
      </c>
      <c r="G95" s="52"/>
      <c r="H95" s="43">
        <v>2000</v>
      </c>
      <c r="I95" s="34"/>
    </row>
    <row r="96" spans="5:16" ht="15.6" x14ac:dyDescent="0.3">
      <c r="E96" s="54">
        <v>58</v>
      </c>
      <c r="F96" s="42" t="s">
        <v>135</v>
      </c>
      <c r="G96" s="52"/>
      <c r="H96" s="43">
        <v>6500</v>
      </c>
      <c r="I96" s="34"/>
    </row>
    <row r="97" spans="5:9" ht="15.6" x14ac:dyDescent="0.3">
      <c r="E97" s="54">
        <v>59</v>
      </c>
      <c r="F97" s="42" t="s">
        <v>136</v>
      </c>
      <c r="G97" s="52"/>
      <c r="H97" s="43">
        <v>6500</v>
      </c>
      <c r="I97" s="34"/>
    </row>
    <row r="98" spans="5:9" ht="15.6" x14ac:dyDescent="0.3">
      <c r="E98" s="54">
        <v>60</v>
      </c>
      <c r="F98" s="42" t="s">
        <v>137</v>
      </c>
      <c r="G98" s="52"/>
      <c r="H98" s="43">
        <v>2500</v>
      </c>
      <c r="I98" s="34"/>
    </row>
    <row r="99" spans="5:9" ht="15.6" x14ac:dyDescent="0.3">
      <c r="E99" s="54">
        <v>61</v>
      </c>
      <c r="F99" s="42" t="s">
        <v>138</v>
      </c>
      <c r="G99" s="52"/>
      <c r="H99" s="43">
        <v>2500</v>
      </c>
      <c r="I99" s="34"/>
    </row>
    <row r="100" spans="5:9" ht="15.6" x14ac:dyDescent="0.3">
      <c r="E100" s="54">
        <v>62</v>
      </c>
      <c r="F100" s="42" t="s">
        <v>139</v>
      </c>
      <c r="G100" s="52"/>
      <c r="H100" s="43">
        <v>2500</v>
      </c>
      <c r="I100" s="34"/>
    </row>
    <row r="101" spans="5:9" ht="15.6" x14ac:dyDescent="0.3">
      <c r="E101" s="54">
        <v>63</v>
      </c>
      <c r="F101" s="42" t="s">
        <v>140</v>
      </c>
      <c r="G101" s="52"/>
      <c r="H101" s="43">
        <v>5000</v>
      </c>
      <c r="I101" s="34"/>
    </row>
    <row r="102" spans="5:9" ht="15.6" x14ac:dyDescent="0.3">
      <c r="E102" s="54">
        <v>64</v>
      </c>
      <c r="F102" s="42" t="s">
        <v>141</v>
      </c>
      <c r="G102" s="52"/>
      <c r="H102" s="43">
        <v>5000</v>
      </c>
      <c r="I102" s="34"/>
    </row>
    <row r="103" spans="5:9" ht="15.6" x14ac:dyDescent="0.3">
      <c r="E103" s="54">
        <v>65</v>
      </c>
      <c r="F103" s="45" t="s">
        <v>142</v>
      </c>
      <c r="G103" s="53"/>
      <c r="H103" s="44">
        <v>6100</v>
      </c>
      <c r="I103" s="34"/>
    </row>
    <row r="104" spans="5:9" ht="15.6" x14ac:dyDescent="0.3">
      <c r="E104" s="54">
        <v>66</v>
      </c>
      <c r="F104" s="42" t="s">
        <v>143</v>
      </c>
      <c r="G104" s="52"/>
      <c r="H104" s="43">
        <v>6100</v>
      </c>
      <c r="I104" s="34"/>
    </row>
    <row r="105" spans="5:9" ht="15.6" x14ac:dyDescent="0.3">
      <c r="E105" s="54">
        <v>67</v>
      </c>
      <c r="F105" s="42" t="s">
        <v>144</v>
      </c>
      <c r="G105" s="52"/>
      <c r="H105" s="43">
        <v>6600</v>
      </c>
      <c r="I105" s="34"/>
    </row>
    <row r="106" spans="5:9" ht="15.6" x14ac:dyDescent="0.3">
      <c r="E106" s="54">
        <v>68</v>
      </c>
      <c r="F106" s="42" t="s">
        <v>145</v>
      </c>
      <c r="G106" s="52"/>
      <c r="H106" s="43">
        <v>6600</v>
      </c>
      <c r="I106" s="34"/>
    </row>
    <row r="107" spans="5:9" ht="15.6" x14ac:dyDescent="0.3">
      <c r="E107" s="54">
        <v>69</v>
      </c>
      <c r="F107" s="42" t="s">
        <v>146</v>
      </c>
      <c r="G107" s="52">
        <v>413</v>
      </c>
      <c r="H107" s="43"/>
      <c r="I107" s="34"/>
    </row>
    <row r="108" spans="5:9" ht="15.6" x14ac:dyDescent="0.3">
      <c r="E108" s="54">
        <v>70</v>
      </c>
      <c r="F108" s="42" t="s">
        <v>148</v>
      </c>
      <c r="G108" s="52">
        <v>521</v>
      </c>
      <c r="H108" s="43">
        <v>9100</v>
      </c>
      <c r="I108" s="34"/>
    </row>
    <row r="109" spans="5:9" ht="15.6" x14ac:dyDescent="0.3">
      <c r="E109" s="54">
        <v>71</v>
      </c>
      <c r="F109" s="42"/>
      <c r="G109" s="52"/>
      <c r="H109" s="43"/>
      <c r="I109" s="34"/>
    </row>
    <row r="110" spans="5:9" ht="15.6" x14ac:dyDescent="0.3">
      <c r="E110" s="54">
        <v>72</v>
      </c>
      <c r="F110" s="42"/>
      <c r="G110" s="52"/>
      <c r="H110" s="43"/>
      <c r="I110" s="34"/>
    </row>
    <row r="111" spans="5:9" ht="15.6" x14ac:dyDescent="0.3">
      <c r="E111" s="54">
        <v>73</v>
      </c>
      <c r="F111" s="42"/>
      <c r="G111" s="52"/>
      <c r="H111" s="43"/>
      <c r="I111" s="34"/>
    </row>
    <row r="112" spans="5:9" ht="15.6" x14ac:dyDescent="0.3">
      <c r="E112" s="54">
        <v>74</v>
      </c>
      <c r="F112" s="42"/>
      <c r="G112" s="52"/>
      <c r="H112" s="43"/>
      <c r="I112" s="34"/>
    </row>
    <row r="113" spans="5:9" ht="15.6" x14ac:dyDescent="0.3">
      <c r="E113" s="54">
        <v>75</v>
      </c>
      <c r="F113" s="42"/>
      <c r="G113" s="52"/>
      <c r="H113" s="43"/>
      <c r="I113" s="34"/>
    </row>
    <row r="114" spans="5:9" ht="15.6" x14ac:dyDescent="0.3">
      <c r="E114" s="54">
        <v>76</v>
      </c>
      <c r="F114" s="42"/>
      <c r="G114" s="52"/>
      <c r="H114" s="43"/>
      <c r="I114" s="34"/>
    </row>
    <row r="115" spans="5:9" ht="15.6" x14ac:dyDescent="0.3">
      <c r="E115" s="54">
        <v>77</v>
      </c>
      <c r="F115" s="42"/>
      <c r="G115" s="52"/>
      <c r="H115" s="43"/>
      <c r="I115" s="34"/>
    </row>
    <row r="116" spans="5:9" ht="15.6" x14ac:dyDescent="0.3">
      <c r="E116" s="54">
        <v>78</v>
      </c>
      <c r="F116" s="42"/>
      <c r="G116" s="52"/>
      <c r="H116" s="43"/>
      <c r="I116" s="34"/>
    </row>
    <row r="117" spans="5:9" ht="15.6" x14ac:dyDescent="0.3">
      <c r="E117" s="54">
        <v>79</v>
      </c>
      <c r="F117" s="42"/>
      <c r="G117" s="52"/>
      <c r="H117" s="43"/>
      <c r="I117" s="34"/>
    </row>
    <row r="118" spans="5:9" ht="15.6" x14ac:dyDescent="0.3">
      <c r="E118" s="54">
        <v>80</v>
      </c>
      <c r="F118" s="42"/>
      <c r="G118" s="52"/>
      <c r="H118" s="43"/>
      <c r="I118" s="34"/>
    </row>
    <row r="119" spans="5:9" ht="15.6" x14ac:dyDescent="0.3">
      <c r="E119" s="54">
        <v>81</v>
      </c>
      <c r="F119" s="42"/>
      <c r="G119" s="52"/>
      <c r="H119" s="43"/>
      <c r="I119" s="34"/>
    </row>
    <row r="120" spans="5:9" ht="15.6" x14ac:dyDescent="0.3">
      <c r="E120" s="54">
        <v>82</v>
      </c>
      <c r="F120" s="42"/>
      <c r="G120" s="52"/>
      <c r="H120" s="43"/>
      <c r="I120" s="34"/>
    </row>
    <row r="121" spans="5:9" ht="15.6" x14ac:dyDescent="0.3">
      <c r="E121" s="54">
        <v>83</v>
      </c>
      <c r="F121" s="42"/>
      <c r="G121" s="52"/>
      <c r="H121" s="43"/>
      <c r="I121" s="34"/>
    </row>
    <row r="122" spans="5:9" ht="15.6" x14ac:dyDescent="0.3">
      <c r="E122" s="54">
        <v>84</v>
      </c>
      <c r="F122" s="42"/>
      <c r="G122" s="52"/>
      <c r="H122" s="43"/>
      <c r="I122" s="34"/>
    </row>
    <row r="123" spans="5:9" ht="15.6" x14ac:dyDescent="0.3">
      <c r="E123" s="54">
        <v>85</v>
      </c>
      <c r="F123" s="42"/>
      <c r="G123" s="52"/>
      <c r="H123" s="43"/>
      <c r="I123" s="34"/>
    </row>
    <row r="124" spans="5:9" ht="15.6" x14ac:dyDescent="0.3">
      <c r="E124" s="54">
        <v>86</v>
      </c>
      <c r="F124" s="42"/>
      <c r="G124" s="52"/>
      <c r="H124" s="43"/>
      <c r="I124" s="34"/>
    </row>
    <row r="125" spans="5:9" ht="15.6" x14ac:dyDescent="0.3">
      <c r="E125" s="54">
        <v>87</v>
      </c>
      <c r="F125" s="42"/>
      <c r="G125" s="52"/>
      <c r="H125" s="43"/>
      <c r="I125" s="34"/>
    </row>
    <row r="126" spans="5:9" ht="15.6" x14ac:dyDescent="0.3">
      <c r="E126" s="54">
        <v>88</v>
      </c>
      <c r="F126" s="42"/>
      <c r="G126" s="52"/>
      <c r="H126" s="43"/>
      <c r="I126" s="34"/>
    </row>
    <row r="127" spans="5:9" ht="15.6" x14ac:dyDescent="0.3">
      <c r="E127" s="54">
        <v>89</v>
      </c>
      <c r="F127" s="42"/>
      <c r="G127" s="52"/>
      <c r="H127" s="43"/>
      <c r="I127" s="34"/>
    </row>
    <row r="128" spans="5:9" ht="15.6" x14ac:dyDescent="0.3">
      <c r="E128" s="54">
        <v>90</v>
      </c>
      <c r="F128" s="42"/>
      <c r="G128" s="52"/>
      <c r="H128" s="43"/>
      <c r="I128" s="34"/>
    </row>
    <row r="129" spans="5:9" ht="15.6" x14ac:dyDescent="0.3">
      <c r="E129" s="54">
        <v>91</v>
      </c>
      <c r="F129" s="42"/>
      <c r="G129" s="52"/>
      <c r="H129" s="43"/>
      <c r="I129" s="34"/>
    </row>
    <row r="130" spans="5:9" ht="15.6" x14ac:dyDescent="0.3">
      <c r="E130" s="54">
        <v>92</v>
      </c>
      <c r="F130" s="42"/>
      <c r="G130" s="52"/>
      <c r="H130" s="43"/>
      <c r="I130" s="34"/>
    </row>
    <row r="131" spans="5:9" ht="15.6" x14ac:dyDescent="0.3">
      <c r="E131" s="54">
        <v>93</v>
      </c>
      <c r="F131" s="42"/>
      <c r="G131" s="52"/>
      <c r="H131" s="43"/>
      <c r="I131" s="34"/>
    </row>
    <row r="132" spans="5:9" ht="15.6" x14ac:dyDescent="0.3">
      <c r="E132" s="54">
        <v>94</v>
      </c>
      <c r="F132" s="42"/>
      <c r="G132" s="52"/>
      <c r="H132" s="43"/>
      <c r="I132" s="34"/>
    </row>
    <row r="133" spans="5:9" ht="15.6" x14ac:dyDescent="0.3">
      <c r="E133" s="54">
        <v>95</v>
      </c>
      <c r="F133" s="42"/>
      <c r="G133" s="52"/>
      <c r="H133" s="43"/>
      <c r="I133" s="34"/>
    </row>
    <row r="134" spans="5:9" ht="15.6" x14ac:dyDescent="0.3">
      <c r="E134" s="54">
        <v>96</v>
      </c>
      <c r="F134" s="42"/>
      <c r="G134" s="52"/>
      <c r="H134" s="43"/>
      <c r="I134" s="34"/>
    </row>
    <row r="135" spans="5:9" ht="15.6" x14ac:dyDescent="0.3">
      <c r="E135" s="54">
        <v>97</v>
      </c>
      <c r="F135" s="42"/>
      <c r="G135" s="52"/>
      <c r="H135" s="43"/>
      <c r="I135" s="34"/>
    </row>
    <row r="136" spans="5:9" ht="15.6" x14ac:dyDescent="0.3">
      <c r="E136" s="54">
        <v>98</v>
      </c>
      <c r="F136" s="42"/>
      <c r="G136" s="52"/>
      <c r="H136" s="43"/>
      <c r="I136" s="34"/>
    </row>
    <row r="137" spans="5:9" ht="15.6" x14ac:dyDescent="0.3">
      <c r="E137" s="54">
        <v>99</v>
      </c>
      <c r="F137" s="42"/>
      <c r="G137" s="52"/>
      <c r="H137" s="43"/>
      <c r="I137" s="34"/>
    </row>
    <row r="138" spans="5:9" ht="15.6" x14ac:dyDescent="0.3">
      <c r="E138" s="54">
        <v>100</v>
      </c>
      <c r="F138" s="42"/>
      <c r="G138" s="52"/>
      <c r="H138" s="43"/>
      <c r="I138" s="34"/>
    </row>
    <row r="139" spans="5:9" ht="15.6" x14ac:dyDescent="0.3">
      <c r="E139" s="54">
        <v>101</v>
      </c>
      <c r="F139" s="42"/>
      <c r="G139" s="52"/>
      <c r="H139" s="43"/>
      <c r="I139" s="34"/>
    </row>
    <row r="140" spans="5:9" ht="15.6" x14ac:dyDescent="0.3">
      <c r="E140" s="54">
        <v>102</v>
      </c>
      <c r="F140" s="42"/>
      <c r="G140" s="52"/>
      <c r="H140" s="43"/>
      <c r="I140" s="34"/>
    </row>
    <row r="141" spans="5:9" ht="15.6" x14ac:dyDescent="0.3">
      <c r="E141" s="54">
        <v>103</v>
      </c>
      <c r="F141" s="42"/>
      <c r="G141" s="52"/>
      <c r="H141" s="43"/>
      <c r="I141" s="34"/>
    </row>
    <row r="142" spans="5:9" ht="15.6" x14ac:dyDescent="0.3">
      <c r="E142" s="54">
        <v>104</v>
      </c>
      <c r="F142" s="42"/>
      <c r="G142" s="52"/>
      <c r="H142" s="43"/>
      <c r="I142" s="34"/>
    </row>
    <row r="143" spans="5:9" ht="15.6" x14ac:dyDescent="0.3">
      <c r="E143" s="54">
        <v>105</v>
      </c>
      <c r="F143" s="42"/>
      <c r="G143" s="52"/>
      <c r="H143" s="43"/>
      <c r="I143" s="34"/>
    </row>
    <row r="144" spans="5:9" ht="15.6" x14ac:dyDescent="0.3">
      <c r="E144" s="54">
        <v>106</v>
      </c>
      <c r="F144" s="42"/>
      <c r="G144" s="52"/>
      <c r="H144" s="43"/>
      <c r="I144" s="34"/>
    </row>
    <row r="145" spans="5:9" ht="15.6" x14ac:dyDescent="0.3">
      <c r="E145" s="54">
        <v>107</v>
      </c>
      <c r="F145" s="42"/>
      <c r="G145" s="52"/>
      <c r="H145" s="43"/>
      <c r="I145" s="34"/>
    </row>
    <row r="146" spans="5:9" ht="15.6" x14ac:dyDescent="0.3">
      <c r="E146" s="54">
        <v>108</v>
      </c>
      <c r="F146" s="42"/>
      <c r="G146" s="52"/>
      <c r="H146" s="43"/>
      <c r="I146" s="34"/>
    </row>
    <row r="147" spans="5:9" ht="15.6" x14ac:dyDescent="0.3">
      <c r="E147" s="54">
        <v>109</v>
      </c>
      <c r="F147" s="42"/>
      <c r="G147" s="52"/>
      <c r="H147" s="43"/>
      <c r="I147" s="34"/>
    </row>
    <row r="148" spans="5:9" ht="15.6" x14ac:dyDescent="0.3">
      <c r="E148" s="54">
        <v>110</v>
      </c>
      <c r="F148" s="42"/>
      <c r="G148" s="52"/>
      <c r="H148" s="43"/>
      <c r="I148" s="34"/>
    </row>
    <row r="149" spans="5:9" ht="15.6" x14ac:dyDescent="0.3">
      <c r="E149" s="54">
        <v>111</v>
      </c>
      <c r="F149" s="42"/>
      <c r="G149" s="52"/>
      <c r="H149" s="43"/>
      <c r="I149" s="34"/>
    </row>
    <row r="150" spans="5:9" ht="15.6" x14ac:dyDescent="0.3">
      <c r="E150" s="54">
        <v>112</v>
      </c>
      <c r="F150" s="42"/>
      <c r="G150" s="52"/>
      <c r="H150" s="43"/>
      <c r="I150" s="34"/>
    </row>
    <row r="151" spans="5:9" ht="15.6" x14ac:dyDescent="0.3">
      <c r="E151" s="54">
        <v>113</v>
      </c>
      <c r="F151" s="42"/>
      <c r="G151" s="52"/>
      <c r="H151" s="43"/>
      <c r="I151" s="34"/>
    </row>
    <row r="152" spans="5:9" ht="15.6" x14ac:dyDescent="0.3">
      <c r="E152" s="54">
        <v>114</v>
      </c>
      <c r="F152" s="42"/>
      <c r="G152" s="52"/>
      <c r="H152" s="43"/>
      <c r="I152" s="34"/>
    </row>
    <row r="153" spans="5:9" ht="15.6" x14ac:dyDescent="0.3">
      <c r="E153" s="54">
        <v>115</v>
      </c>
      <c r="F153" s="42"/>
      <c r="G153" s="52"/>
      <c r="H153" s="43"/>
      <c r="I153" s="34"/>
    </row>
    <row r="154" spans="5:9" ht="15.6" x14ac:dyDescent="0.3">
      <c r="E154" s="54">
        <v>116</v>
      </c>
      <c r="F154" s="42"/>
      <c r="G154" s="52"/>
      <c r="H154" s="43"/>
      <c r="I154" s="34"/>
    </row>
    <row r="155" spans="5:9" ht="15.6" x14ac:dyDescent="0.3">
      <c r="E155" s="54">
        <v>117</v>
      </c>
      <c r="F155" s="42"/>
      <c r="G155" s="52"/>
      <c r="H155" s="43"/>
      <c r="I155" s="34"/>
    </row>
    <row r="156" spans="5:9" ht="15.6" x14ac:dyDescent="0.3">
      <c r="E156" s="54">
        <v>118</v>
      </c>
      <c r="F156" s="42"/>
      <c r="G156" s="52"/>
      <c r="H156" s="43"/>
      <c r="I156" s="34"/>
    </row>
    <row r="157" spans="5:9" ht="15.6" x14ac:dyDescent="0.3">
      <c r="E157" s="54">
        <v>119</v>
      </c>
      <c r="F157" s="42"/>
      <c r="G157" s="52"/>
      <c r="H157" s="43"/>
      <c r="I157" s="34"/>
    </row>
    <row r="158" spans="5:9" ht="15.6" x14ac:dyDescent="0.3">
      <c r="E158" s="54">
        <v>120</v>
      </c>
      <c r="F158" s="42"/>
      <c r="G158" s="52"/>
      <c r="H158" s="43"/>
      <c r="I158" s="34"/>
    </row>
    <row r="159" spans="5:9" ht="15.6" x14ac:dyDescent="0.3">
      <c r="E159" s="54">
        <v>121</v>
      </c>
      <c r="F159" s="42"/>
      <c r="G159" s="52"/>
      <c r="H159" s="43"/>
      <c r="I159" s="34"/>
    </row>
    <row r="160" spans="5:9" ht="15.6" x14ac:dyDescent="0.3">
      <c r="E160" s="54">
        <v>122</v>
      </c>
      <c r="F160" s="42"/>
      <c r="G160" s="52"/>
      <c r="H160" s="43"/>
      <c r="I160" s="34"/>
    </row>
    <row r="161" spans="5:9" ht="15.6" x14ac:dyDescent="0.3">
      <c r="E161" s="54">
        <v>123</v>
      </c>
      <c r="F161" s="42"/>
      <c r="G161" s="52"/>
      <c r="H161" s="43"/>
      <c r="I161" s="34"/>
    </row>
    <row r="162" spans="5:9" ht="15.6" x14ac:dyDescent="0.3">
      <c r="E162" s="54">
        <v>124</v>
      </c>
      <c r="F162" s="42"/>
      <c r="G162" s="52"/>
      <c r="H162" s="43"/>
      <c r="I162" s="34"/>
    </row>
    <row r="163" spans="5:9" ht="15.6" x14ac:dyDescent="0.3">
      <c r="E163" s="54">
        <v>125</v>
      </c>
      <c r="F163" s="42"/>
      <c r="G163" s="52"/>
      <c r="H163" s="43"/>
      <c r="I163" s="34"/>
    </row>
    <row r="164" spans="5:9" ht="15.6" x14ac:dyDescent="0.3">
      <c r="E164" s="54">
        <v>126</v>
      </c>
      <c r="F164" s="42"/>
      <c r="G164" s="52"/>
      <c r="H164" s="43"/>
      <c r="I164" s="34"/>
    </row>
    <row r="165" spans="5:9" ht="15.6" x14ac:dyDescent="0.3">
      <c r="E165" s="54">
        <v>127</v>
      </c>
      <c r="F165" s="42"/>
      <c r="G165" s="52"/>
      <c r="H165" s="43"/>
      <c r="I165" s="34"/>
    </row>
    <row r="166" spans="5:9" ht="15.6" x14ac:dyDescent="0.3">
      <c r="E166" s="54">
        <v>128</v>
      </c>
      <c r="F166" s="42"/>
      <c r="G166" s="52"/>
      <c r="H166" s="43"/>
      <c r="I166" s="34"/>
    </row>
    <row r="167" spans="5:9" ht="15.6" x14ac:dyDescent="0.3">
      <c r="E167" s="54">
        <v>129</v>
      </c>
      <c r="F167" s="42"/>
      <c r="G167" s="52"/>
      <c r="H167" s="43"/>
      <c r="I167" s="34"/>
    </row>
    <row r="168" spans="5:9" ht="15.6" x14ac:dyDescent="0.3">
      <c r="E168" s="54">
        <v>130</v>
      </c>
      <c r="F168" s="42"/>
      <c r="G168" s="52"/>
      <c r="H168" s="43"/>
      <c r="I168" s="34"/>
    </row>
    <row r="169" spans="5:9" ht="15.6" x14ac:dyDescent="0.3">
      <c r="E169" s="54">
        <v>131</v>
      </c>
      <c r="F169" s="42"/>
      <c r="G169" s="52"/>
      <c r="H169" s="43"/>
      <c r="I169" s="34"/>
    </row>
    <row r="170" spans="5:9" ht="15.6" x14ac:dyDescent="0.3">
      <c r="E170" s="54">
        <v>132</v>
      </c>
      <c r="F170" s="42"/>
      <c r="G170" s="52"/>
      <c r="H170" s="43"/>
      <c r="I170" s="34"/>
    </row>
    <row r="171" spans="5:9" ht="15.6" x14ac:dyDescent="0.3">
      <c r="E171" s="54">
        <v>133</v>
      </c>
      <c r="F171" s="42"/>
      <c r="G171" s="52"/>
      <c r="H171" s="43"/>
      <c r="I171" s="34"/>
    </row>
    <row r="172" spans="5:9" ht="15.6" x14ac:dyDescent="0.3">
      <c r="E172" s="54">
        <v>134</v>
      </c>
      <c r="F172" s="42"/>
      <c r="G172" s="52"/>
      <c r="H172" s="43"/>
      <c r="I172" s="34"/>
    </row>
    <row r="173" spans="5:9" ht="15.6" x14ac:dyDescent="0.3">
      <c r="E173" s="54">
        <v>135</v>
      </c>
      <c r="F173" s="42"/>
      <c r="G173" s="52"/>
      <c r="H173" s="43"/>
      <c r="I173" s="34"/>
    </row>
    <row r="174" spans="5:9" ht="15.6" x14ac:dyDescent="0.3">
      <c r="E174" s="54">
        <v>136</v>
      </c>
      <c r="F174" s="42"/>
      <c r="G174" s="52"/>
      <c r="H174" s="43"/>
      <c r="I174" s="34"/>
    </row>
    <row r="175" spans="5:9" ht="15.6" x14ac:dyDescent="0.3">
      <c r="E175" s="54">
        <v>137</v>
      </c>
      <c r="F175" s="42"/>
      <c r="G175" s="52"/>
      <c r="H175" s="43"/>
      <c r="I175" s="34"/>
    </row>
    <row r="176" spans="5:9" ht="15.6" x14ac:dyDescent="0.3">
      <c r="E176" s="54">
        <v>138</v>
      </c>
      <c r="F176" s="42"/>
      <c r="G176" s="52"/>
      <c r="H176" s="43"/>
      <c r="I176" s="34"/>
    </row>
    <row r="177" spans="5:9" ht="15.6" x14ac:dyDescent="0.3">
      <c r="E177" s="54">
        <v>139</v>
      </c>
      <c r="F177" s="42"/>
      <c r="G177" s="52"/>
      <c r="H177" s="43"/>
      <c r="I177" s="34"/>
    </row>
    <row r="178" spans="5:9" ht="15.6" x14ac:dyDescent="0.3">
      <c r="E178" s="54">
        <v>140</v>
      </c>
      <c r="F178" s="42"/>
      <c r="G178" s="52"/>
      <c r="H178" s="43"/>
      <c r="I178" s="34"/>
    </row>
    <row r="179" spans="5:9" ht="15.6" x14ac:dyDescent="0.3">
      <c r="E179" s="54">
        <v>141</v>
      </c>
      <c r="F179" s="42"/>
      <c r="G179" s="52"/>
      <c r="H179" s="43"/>
      <c r="I179" s="34"/>
    </row>
    <row r="180" spans="5:9" ht="15.6" x14ac:dyDescent="0.3">
      <c r="E180" s="54">
        <v>142</v>
      </c>
      <c r="F180" s="42"/>
      <c r="G180" s="52"/>
      <c r="H180" s="43"/>
      <c r="I180" s="34"/>
    </row>
    <row r="181" spans="5:9" ht="15.6" x14ac:dyDescent="0.3">
      <c r="E181" s="54">
        <v>143</v>
      </c>
      <c r="F181" s="42"/>
      <c r="G181" s="52"/>
      <c r="H181" s="43"/>
      <c r="I181" s="34"/>
    </row>
    <row r="182" spans="5:9" ht="15.6" x14ac:dyDescent="0.3">
      <c r="E182" s="54">
        <v>144</v>
      </c>
      <c r="F182" s="42"/>
      <c r="G182" s="52"/>
      <c r="H182" s="43"/>
      <c r="I182" s="34"/>
    </row>
    <row r="183" spans="5:9" ht="15.6" x14ac:dyDescent="0.3">
      <c r="E183" s="54">
        <v>145</v>
      </c>
      <c r="F183" s="42"/>
      <c r="G183" s="52"/>
      <c r="H183" s="43"/>
      <c r="I183" s="34"/>
    </row>
    <row r="184" spans="5:9" ht="15.6" x14ac:dyDescent="0.3">
      <c r="E184" s="54">
        <v>146</v>
      </c>
      <c r="F184" s="42"/>
      <c r="G184" s="52"/>
      <c r="H184" s="43"/>
      <c r="I184" s="34"/>
    </row>
    <row r="185" spans="5:9" ht="15.6" x14ac:dyDescent="0.3">
      <c r="E185" s="54">
        <v>147</v>
      </c>
      <c r="F185" s="42"/>
      <c r="G185" s="52"/>
      <c r="H185" s="43"/>
      <c r="I185" s="34"/>
    </row>
    <row r="186" spans="5:9" ht="15.6" x14ac:dyDescent="0.3">
      <c r="E186" s="54">
        <v>148</v>
      </c>
      <c r="F186" s="42"/>
      <c r="G186" s="52"/>
      <c r="H186" s="43"/>
      <c r="I186" s="34"/>
    </row>
    <row r="187" spans="5:9" ht="15.6" x14ac:dyDescent="0.3">
      <c r="E187" s="54">
        <v>149</v>
      </c>
      <c r="F187" s="42"/>
      <c r="G187" s="52"/>
      <c r="H187" s="43"/>
      <c r="I187" s="34"/>
    </row>
    <row r="188" spans="5:9" ht="15.6" x14ac:dyDescent="0.3">
      <c r="E188" s="54">
        <v>150</v>
      </c>
      <c r="F188" s="42"/>
      <c r="G188" s="52"/>
      <c r="H188" s="43"/>
      <c r="I188" s="34"/>
    </row>
    <row r="189" spans="5:9" ht="15.6" x14ac:dyDescent="0.3">
      <c r="E189" s="54">
        <v>151</v>
      </c>
      <c r="F189" s="42"/>
      <c r="G189" s="52"/>
      <c r="H189" s="43"/>
      <c r="I189" s="34"/>
    </row>
    <row r="190" spans="5:9" ht="15.6" x14ac:dyDescent="0.3">
      <c r="E190" s="54">
        <v>152</v>
      </c>
      <c r="F190" s="42"/>
      <c r="G190" s="52"/>
      <c r="H190" s="43"/>
      <c r="I190" s="34"/>
    </row>
    <row r="191" spans="5:9" ht="15.6" x14ac:dyDescent="0.3">
      <c r="E191" s="54">
        <v>153</v>
      </c>
      <c r="F191" s="42"/>
      <c r="G191" s="52"/>
      <c r="H191" s="43"/>
      <c r="I191" s="34"/>
    </row>
    <row r="192" spans="5:9" ht="15.6" x14ac:dyDescent="0.3">
      <c r="E192" s="54">
        <v>154</v>
      </c>
      <c r="F192" s="42"/>
      <c r="G192" s="52"/>
      <c r="H192" s="43"/>
      <c r="I192" s="34"/>
    </row>
    <row r="193" spans="5:9" ht="15.6" x14ac:dyDescent="0.3">
      <c r="E193" s="54">
        <v>155</v>
      </c>
      <c r="F193" s="42"/>
      <c r="G193" s="52"/>
      <c r="H193" s="43"/>
      <c r="I193" s="34"/>
    </row>
    <row r="194" spans="5:9" ht="15.6" x14ac:dyDescent="0.3">
      <c r="E194" s="54">
        <v>156</v>
      </c>
      <c r="F194" s="42"/>
      <c r="G194" s="52"/>
      <c r="H194" s="43"/>
      <c r="I194" s="34"/>
    </row>
    <row r="195" spans="5:9" ht="15.6" x14ac:dyDescent="0.3">
      <c r="E195" s="54">
        <v>157</v>
      </c>
      <c r="F195" s="42"/>
      <c r="G195" s="52"/>
      <c r="H195" s="43"/>
      <c r="I195" s="34"/>
    </row>
    <row r="196" spans="5:9" ht="15.6" x14ac:dyDescent="0.3">
      <c r="E196" s="54">
        <v>158</v>
      </c>
      <c r="F196" s="42"/>
      <c r="G196" s="52"/>
      <c r="H196" s="43"/>
      <c r="I196" s="34"/>
    </row>
    <row r="197" spans="5:9" ht="15.6" x14ac:dyDescent="0.3">
      <c r="E197" s="54">
        <v>159</v>
      </c>
      <c r="F197" s="42"/>
      <c r="G197" s="52"/>
      <c r="H197" s="43"/>
      <c r="I197" s="34"/>
    </row>
    <row r="198" spans="5:9" ht="15.6" x14ac:dyDescent="0.3">
      <c r="E198" s="54">
        <v>160</v>
      </c>
      <c r="F198" s="42"/>
      <c r="G198" s="52"/>
      <c r="H198" s="43"/>
      <c r="I198" s="34"/>
    </row>
    <row r="199" spans="5:9" ht="15.6" x14ac:dyDescent="0.3">
      <c r="E199" s="54">
        <v>161</v>
      </c>
      <c r="F199" s="42"/>
      <c r="G199" s="52"/>
      <c r="H199" s="43"/>
      <c r="I199" s="34"/>
    </row>
    <row r="200" spans="5:9" ht="15.6" x14ac:dyDescent="0.3">
      <c r="E200" s="54">
        <v>162</v>
      </c>
      <c r="F200" s="42"/>
      <c r="G200" s="52"/>
      <c r="H200" s="43"/>
      <c r="I200" s="34"/>
    </row>
    <row r="201" spans="5:9" ht="15.6" x14ac:dyDescent="0.3">
      <c r="E201" s="54">
        <v>163</v>
      </c>
      <c r="F201" s="42"/>
      <c r="G201" s="52"/>
      <c r="H201" s="43"/>
      <c r="I201" s="34"/>
    </row>
    <row r="202" spans="5:9" ht="15.6" x14ac:dyDescent="0.3">
      <c r="E202" s="54">
        <v>164</v>
      </c>
      <c r="F202" s="42"/>
      <c r="G202" s="52"/>
      <c r="H202" s="43"/>
      <c r="I202" s="34"/>
    </row>
    <row r="203" spans="5:9" ht="15.6" x14ac:dyDescent="0.3">
      <c r="E203" s="54">
        <v>165</v>
      </c>
      <c r="F203" s="42"/>
      <c r="G203" s="52"/>
      <c r="H203" s="43"/>
      <c r="I203" s="34"/>
    </row>
    <row r="204" spans="5:9" ht="15.6" x14ac:dyDescent="0.3">
      <c r="E204" s="54">
        <v>166</v>
      </c>
      <c r="F204" s="42"/>
      <c r="G204" s="52"/>
      <c r="H204" s="43"/>
      <c r="I204" s="34"/>
    </row>
    <row r="205" spans="5:9" ht="15.6" x14ac:dyDescent="0.3">
      <c r="E205" s="54">
        <v>167</v>
      </c>
      <c r="F205" s="42"/>
      <c r="G205" s="52"/>
      <c r="H205" s="43"/>
      <c r="I205" s="34"/>
    </row>
    <row r="206" spans="5:9" ht="15.6" x14ac:dyDescent="0.3">
      <c r="E206" s="54">
        <v>168</v>
      </c>
      <c r="F206" s="42"/>
      <c r="G206" s="52"/>
      <c r="H206" s="43"/>
      <c r="I206" s="34"/>
    </row>
    <row r="207" spans="5:9" ht="15.6" x14ac:dyDescent="0.3">
      <c r="E207" s="54">
        <v>169</v>
      </c>
      <c r="F207" s="42"/>
      <c r="G207" s="52"/>
      <c r="H207" s="43"/>
      <c r="I207" s="34"/>
    </row>
    <row r="208" spans="5:9" ht="15.6" x14ac:dyDescent="0.3">
      <c r="E208" s="54">
        <v>170</v>
      </c>
      <c r="F208" s="42"/>
      <c r="G208" s="52"/>
      <c r="H208" s="43"/>
      <c r="I208" s="34"/>
    </row>
    <row r="209" spans="5:9" ht="15.6" x14ac:dyDescent="0.3">
      <c r="E209" s="54">
        <v>171</v>
      </c>
      <c r="F209" s="45"/>
      <c r="G209" s="53"/>
      <c r="H209" s="44"/>
      <c r="I209" s="34"/>
    </row>
  </sheetData>
  <mergeCells count="3">
    <mergeCell ref="B2:C4"/>
    <mergeCell ref="B5:C5"/>
    <mergeCell ref="F2:G4"/>
  </mergeCells>
  <phoneticPr fontId="11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 TECHNIQUE </vt:lpstr>
      <vt:lpstr>FICHE TECHNIQUE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KONAN ANICET</dc:creator>
  <cp:lastModifiedBy>wahab abdoul</cp:lastModifiedBy>
  <dcterms:created xsi:type="dcterms:W3CDTF">2025-06-07T10:33:24Z</dcterms:created>
  <dcterms:modified xsi:type="dcterms:W3CDTF">2026-07-22T12:27:10Z</dcterms:modified>
</cp:coreProperties>
</file>